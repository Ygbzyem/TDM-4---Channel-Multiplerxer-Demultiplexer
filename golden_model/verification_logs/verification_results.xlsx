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History" sheetId="3" state="visible" r:id="rId3"/>
  </sheets>
  <definedNames>
    <definedName name="_xlnm._FilterDatabase" localSheetId="1" hidden="1">'Results'!$A$1:$T$201</definedName>
    <definedName name="_xlnm.Print_Titles" localSheetId="1">'Results'!$1:$1</definedName>
    <definedName name="_xlnm._FilterDatabase" localSheetId="2" hidden="1">'History'!$A$1:$J$2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10"/>
    </font>
    <font>
      <name val="Arial"/>
      <b val="1"/>
      <color rgb="001F3A5F"/>
      <sz val="15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E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Latency per input vector - run #1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'Results'!$D$2:$D$201</f>
            </numRef>
          </cat>
          <val>
            <numRef>
              <f>'Results'!$Q$2:$Q$201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Vector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(clock cycles)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golden_model</author>
  </authors>
  <commentList>
    <comment ref="B11" authorId="0" shapeId="0">
      <text>
        <t>Assumption: tb_tdm_top_filebased.v generates the clock with 'always #5 clk = ~clk' and timescale 1ns/1ps, i.e. 10 ns. Edit this cell if the testbench clock changes.</t>
      </text>
    </comment>
    <comment ref="B12" authorId="0" shapeId="0">
      <text>
        <t>Source: golden_model/latency_checker.py MAX_LATENCY = 41 (31 wait for load slot + 8 serialise + 2 output registers; verified by sweeping all 32 bit_count phases).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6" customWidth="1" min="3" max="3"/>
  </cols>
  <sheetData>
    <row r="1">
      <c r="A1" s="1" t="inlineStr">
        <is>
          <t>TDM 4-Channel Mux/Demux - RTL vs Golden Model Verification</t>
        </is>
      </c>
    </row>
    <row r="3">
      <c r="A3" s="2" t="inlineStr">
        <is>
          <t>Run information (latest run)</t>
        </is>
      </c>
      <c r="B3" s="3" t="n"/>
      <c r="C3" s="3" t="n"/>
    </row>
    <row r="4">
      <c r="A4" s="4" t="inlineStr">
        <is>
          <t>Latest run #</t>
        </is>
      </c>
      <c r="B4" s="8" t="n">
        <v>1</v>
      </c>
    </row>
    <row r="5">
      <c r="A5" s="4" t="inlineStr">
        <is>
          <t>Run date / time</t>
        </is>
      </c>
      <c r="B5" s="5" t="inlineStr">
        <is>
          <t>2026-10-22 16:04:25</t>
        </is>
      </c>
    </row>
    <row r="6">
      <c r="A6" s="4" t="inlineStr">
        <is>
          <t>Input file</t>
        </is>
      </c>
      <c r="B6" s="5" t="inlineStr">
        <is>
          <t>input_vectors.hex</t>
        </is>
      </c>
    </row>
    <row r="7">
      <c r="A7" s="4" t="inlineStr">
        <is>
          <t>Simulator / tool</t>
        </is>
      </c>
      <c r="B7" s="5" t="inlineStr">
        <is>
          <t>Vivado XSIM (GUI run)</t>
        </is>
      </c>
    </row>
    <row r="8">
      <c r="A8" s="4" t="inlineStr">
        <is>
          <t>Reference model</t>
        </is>
      </c>
      <c r="B8" s="5" t="inlineStr">
        <is>
          <t>Python golden model (golden_model.TDMGoldenModel)</t>
        </is>
      </c>
    </row>
    <row r="9">
      <c r="A9" s="4" t="inlineStr">
        <is>
          <t>Design under test</t>
        </is>
      </c>
      <c r="B9" s="5" t="inlineStr">
        <is>
          <t>tdm_top (tdm_counter, tdm_mux, tx_shift_reg, rx_shift_reg, tdm_demux)</t>
        </is>
      </c>
    </row>
    <row r="10">
      <c r="A10" s="4" t="inlineStr">
        <is>
          <t>Runs recorded in this workbook</t>
        </is>
      </c>
      <c r="B10" s="8">
        <f>MAX(Results!$A$2:$A$201)</f>
        <v/>
      </c>
    </row>
    <row r="11">
      <c r="A11" s="4" t="inlineStr">
        <is>
          <t>Clock period (ns)</t>
        </is>
      </c>
      <c r="B11" s="6" t="n">
        <v>10</v>
      </c>
      <c r="C11" s="7" t="inlineStr">
        <is>
          <t>&lt;- editable</t>
        </is>
      </c>
    </row>
    <row r="12">
      <c r="A12" s="4" t="inlineStr">
        <is>
          <t>Max allowed latency (cycles)</t>
        </is>
      </c>
      <c r="B12" s="6" t="n">
        <v>41</v>
      </c>
      <c r="C12" s="7" t="inlineStr">
        <is>
          <t>&lt;- editable</t>
        </is>
      </c>
    </row>
    <row r="14">
      <c r="A14" s="2" t="inlineStr">
        <is>
          <t>Latest run - verification summary</t>
        </is>
      </c>
      <c r="B14" s="3" t="n"/>
      <c r="C14" s="3" t="n"/>
    </row>
    <row r="15">
      <c r="A15" s="4" t="inlineStr">
        <is>
          <t>Total vectors</t>
        </is>
      </c>
      <c r="B15" s="8">
        <f>COUNTA(Results!$D$2:$D$201)</f>
        <v/>
      </c>
    </row>
    <row r="16">
      <c r="A16" s="4" t="inlineStr">
        <is>
          <t>Vectors passed</t>
        </is>
      </c>
      <c r="B16" s="8">
        <f>COUNTIF(Results!$T$2:$T$201,"PASS")</f>
        <v/>
      </c>
    </row>
    <row r="17">
      <c r="A17" s="4" t="inlineStr">
        <is>
          <t>Vectors failed</t>
        </is>
      </c>
      <c r="B17" s="8">
        <f>B15-B16</f>
        <v/>
      </c>
    </row>
    <row r="18">
      <c r="A18" s="4" t="inlineStr">
        <is>
          <t>Pass rate</t>
        </is>
      </c>
      <c r="B18" s="9">
        <f>IF(B15=0,0,B16/B15)</f>
        <v/>
      </c>
    </row>
    <row r="19">
      <c r="A19" s="4" t="inlineStr">
        <is>
          <t>Overall status</t>
        </is>
      </c>
      <c r="B19" s="10">
        <f>IF(AND(B15&gt;0,B17=0,B28="PASS"),"PASS","FAIL")</f>
        <v/>
      </c>
    </row>
    <row r="21">
      <c r="A21" s="2" t="inlineStr">
        <is>
          <t>Latest run - latency</t>
        </is>
      </c>
      <c r="B21" s="11" t="inlineStr">
        <is>
          <t>Cycles</t>
        </is>
      </c>
      <c r="C21" s="11" t="inlineStr">
        <is>
          <t>ns</t>
        </is>
      </c>
    </row>
    <row r="22">
      <c r="A22" s="4" t="inlineStr">
        <is>
          <t>Cold start (vector 0)</t>
        </is>
      </c>
      <c r="B22" s="12">
        <f>Results!Q2</f>
        <v/>
      </c>
      <c r="C22" s="13">
        <f>IF(ISNUMBER(B22),B22*$B$11,"n/a")</f>
        <v/>
      </c>
    </row>
    <row r="23">
      <c r="A23" s="4" t="inlineStr">
        <is>
          <t>Mid-stream minimum</t>
        </is>
      </c>
      <c r="B23" s="12">
        <f>MIN(Results!$Q$3:$Q$201)</f>
        <v/>
      </c>
      <c r="C23" s="13">
        <f>IF(ISNUMBER(B23),B23*$B$11,"n/a")</f>
        <v/>
      </c>
    </row>
    <row r="24">
      <c r="A24" s="4" t="inlineStr">
        <is>
          <t>Mid-stream maximum</t>
        </is>
      </c>
      <c r="B24" s="12">
        <f>MAX(Results!$Q$3:$Q$201)</f>
        <v/>
      </c>
      <c r="C24" s="13">
        <f>IF(ISNUMBER(B24),B24*$B$11,"n/a")</f>
        <v/>
      </c>
    </row>
    <row r="25">
      <c r="A25" s="4" t="inlineStr">
        <is>
          <t>Mid-stream average</t>
        </is>
      </c>
      <c r="B25" s="13">
        <f>AVERAGE(Results!$Q$3:$Q$201)</f>
        <v/>
      </c>
      <c r="C25" s="13">
        <f>IF(ISNUMBER(B25),B25*$B$11,"n/a")</f>
        <v/>
      </c>
    </row>
    <row r="26">
      <c r="A26" s="4" t="inlineStr">
        <is>
          <t>Worst case of all vectors</t>
        </is>
      </c>
      <c r="B26" s="12">
        <f>MAX(Results!$Q$2:$Q$201)</f>
        <v/>
      </c>
      <c r="C26" s="13">
        <f>IF(ISNUMBER(B26),B26*$B$11,"n/a")</f>
        <v/>
      </c>
    </row>
    <row r="27">
      <c r="A27" s="4" t="inlineStr">
        <is>
          <t>Allowed maximum</t>
        </is>
      </c>
      <c r="B27" s="12">
        <f>B12</f>
        <v/>
      </c>
      <c r="C27" s="13">
        <f>IF(ISNUMBER(B27),B27*$B$11,"n/a")</f>
        <v/>
      </c>
    </row>
    <row r="28">
      <c r="A28" s="4" t="inlineStr">
        <is>
          <t>Latency check</t>
        </is>
      </c>
      <c r="B28" s="14">
        <f>IF(AND(MIN(Results!$Q$2:$Q$201)&gt;=0,MAX(Results!$Q$2:$Q$201)&lt;=B12),"PASS","FAIL")</f>
        <v/>
      </c>
    </row>
    <row r="30">
      <c r="A30" s="2" t="inlineStr">
        <is>
          <t>All runs (cumulative)</t>
        </is>
      </c>
      <c r="B30" s="3" t="n"/>
      <c r="C30" s="3" t="n"/>
    </row>
    <row r="31">
      <c r="A31" s="4" t="inlineStr">
        <is>
          <t>Runs recorded</t>
        </is>
      </c>
      <c r="B31" s="8">
        <f>B10</f>
        <v/>
      </c>
    </row>
    <row r="32">
      <c r="A32" s="4" t="inlineStr">
        <is>
          <t>Total vectors checked</t>
        </is>
      </c>
      <c r="B32" s="8">
        <f>COUNTA(Results!$D$2:$D$201)</f>
        <v/>
      </c>
    </row>
    <row r="33">
      <c r="A33" s="4" t="inlineStr">
        <is>
          <t>Vectors passed</t>
        </is>
      </c>
      <c r="B33" s="8">
        <f>COUNTIF(Results!$T$2:$T$201,"PASS")</f>
        <v/>
      </c>
    </row>
    <row r="34">
      <c r="A34" s="4" t="inlineStr">
        <is>
          <t>Vectors failed</t>
        </is>
      </c>
      <c r="B34" s="8">
        <f>B32-B33</f>
        <v/>
      </c>
    </row>
    <row r="35">
      <c r="A35" s="4" t="inlineStr">
        <is>
          <t>Pass rate</t>
        </is>
      </c>
      <c r="B35" s="9">
        <f>IF(B32=0,0,B33/B32)</f>
        <v/>
      </c>
    </row>
    <row r="36">
      <c r="A36" s="4" t="inlineStr">
        <is>
          <t>Worst latency of all runs (cycles)</t>
        </is>
      </c>
      <c r="B36" s="8">
        <f>MAX(Results!$Q$2:$Q$201)</f>
        <v/>
      </c>
    </row>
    <row r="37">
      <c r="A37" s="4" t="inlineStr">
        <is>
          <t>Average mid-stream latency (cycles)</t>
        </is>
      </c>
      <c r="B37" s="19">
        <f>IFERROR(AVERAGEIF(Results!$E$2:$E$201,"Mid-stream",Results!$Q$2:$Q$201),"n/a")</f>
        <v/>
      </c>
    </row>
    <row r="38">
      <c r="A38" s="4" t="inlineStr">
        <is>
          <t>Overall status (all runs)</t>
        </is>
      </c>
      <c r="B38" s="10">
        <f>IF(AND(B32&gt;0,B34=0,MIN(Results!$Q$2:$Q$201)&gt;=0,B36&lt;=B12),"PASS","FAIL")</f>
        <v/>
      </c>
    </row>
    <row r="40">
      <c r="A40" s="7" t="inlineStr">
        <is>
          <t>Every run is appended to the Results sheet (filter by Run #); the sections above are formulas over the Results sheet. Vector 0 of a run is a cold start (latency counted from reset release); later vectors change the inputs mid-stream at bit_count = 24. If values look empty, click 'Enable Editing' in Excel.</t>
        </is>
      </c>
    </row>
  </sheetData>
  <conditionalFormatting sqref="B19">
    <cfRule type="cellIs" priority="1" operator="equal" dxfId="0">
      <formula>"PASS"</formula>
    </cfRule>
    <cfRule type="cellIs" priority="2" operator="equal" dxfId="0">
      <formula>"MATCH"</formula>
    </cfRule>
    <cfRule type="cellIs" priority="3" operator="equal" dxfId="0">
      <formula>"OK"</formula>
    </cfRule>
    <cfRule type="cellIs" priority="4" operator="equal" dxfId="1">
      <formula>"FAIL"</formula>
    </cfRule>
    <cfRule type="cellIs" priority="5" operator="equal" dxfId="1">
      <formula>"MISMATCH"</formula>
    </cfRule>
    <cfRule type="cellIs" priority="6" operator="equal" dxfId="1">
      <formula>"OVER LIMIT"</formula>
    </cfRule>
    <cfRule type="cellIs" priority="7" operator="equal" dxfId="1">
      <formula>"NEVER"</formula>
    </cfRule>
  </conditionalFormatting>
  <conditionalFormatting sqref="B28">
    <cfRule type="cellIs" priority="8" operator="equal" dxfId="0">
      <formula>"PASS"</formula>
    </cfRule>
    <cfRule type="cellIs" priority="9" operator="equal" dxfId="0">
      <formula>"MATCH"</formula>
    </cfRule>
    <cfRule type="cellIs" priority="10" operator="equal" dxfId="0">
      <formula>"OK"</formula>
    </cfRule>
    <cfRule type="cellIs" priority="11" operator="equal" dxfId="1">
      <formula>"FAIL"</formula>
    </cfRule>
    <cfRule type="cellIs" priority="12" operator="equal" dxfId="1">
      <formula>"MISMATCH"</formula>
    </cfRule>
    <cfRule type="cellIs" priority="13" operator="equal" dxfId="1">
      <formula>"OVER LIMIT"</formula>
    </cfRule>
    <cfRule type="cellIs" priority="14" operator="equal" dxfId="1">
      <formula>"NEVER"</formula>
    </cfRule>
  </conditionalFormatting>
  <conditionalFormatting sqref="B38">
    <cfRule type="cellIs" priority="15" operator="equal" dxfId="0">
      <formula>"PASS"</formula>
    </cfRule>
    <cfRule type="cellIs" priority="16" operator="equal" dxfId="0">
      <formula>"MATCH"</formula>
    </cfRule>
    <cfRule type="cellIs" priority="17" operator="equal" dxfId="0">
      <formula>"OK"</formula>
    </cfRule>
    <cfRule type="cellIs" priority="18" operator="equal" dxfId="1">
      <formula>"FAIL"</formula>
    </cfRule>
    <cfRule type="cellIs" priority="19" operator="equal" dxfId="1">
      <formula>"MISMATCH"</formula>
    </cfRule>
    <cfRule type="cellIs" priority="20" operator="equal" dxfId="1">
      <formula>"OVER LIMIT"</formula>
    </cfRule>
    <cfRule type="cellIs" priority="21" operator="equal" dxfId="1">
      <formula>"NEVER"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E8C"/>
    <outlinePr summaryBelow="1" summaryRight="1"/>
    <pageSetUpPr fitToPage="1"/>
  </sheetPr>
  <dimension ref="A1:T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9" customWidth="1" min="4" max="4"/>
    <col width="12" customWidth="1" min="5" max="5"/>
    <col width="13" customWidth="1" min="6" max="6"/>
    <col width="8" customWidth="1" min="7" max="7"/>
    <col width="8" customWidth="1" min="8" max="8"/>
    <col width="8" customWidth="1" min="9" max="9"/>
    <col width="8" customWidth="1" min="10" max="10"/>
    <col width="16" customWidth="1" min="11" max="11"/>
    <col width="16" customWidth="1" min="12" max="12"/>
    <col width="12" customWidth="1" min="13" max="13"/>
    <col width="36" customWidth="1" min="14" max="14"/>
    <col width="36" customWidth="1" min="15" max="15"/>
    <col width="12" customWidth="1" min="16" max="16"/>
    <col width="11" customWidth="1" min="17" max="17"/>
    <col width="11" customWidth="1" min="18" max="18"/>
    <col width="13" customWidth="1" min="19" max="19"/>
    <col width="10" customWidth="1" min="20" max="20"/>
  </cols>
  <sheetData>
    <row r="1" ht="32" customHeight="1">
      <c r="A1" s="15" t="inlineStr">
        <is>
          <t>Run #</t>
        </is>
      </c>
      <c r="B1" s="15" t="inlineStr">
        <is>
          <t>Run date / time</t>
        </is>
      </c>
      <c r="C1" s="15" t="inlineStr">
        <is>
          <t>Input file</t>
        </is>
      </c>
      <c r="D1" s="15" t="inlineStr">
        <is>
          <t>Vector #</t>
        </is>
      </c>
      <c r="E1" s="15" t="inlineStr">
        <is>
          <t>Type</t>
        </is>
      </c>
      <c r="F1" s="15" t="inlineStr">
        <is>
          <t>Input (hex)</t>
        </is>
      </c>
      <c r="G1" s="15" t="inlineStr">
        <is>
          <t>CH0 in</t>
        </is>
      </c>
      <c r="H1" s="15" t="inlineStr">
        <is>
          <t>CH1 in</t>
        </is>
      </c>
      <c r="I1" s="15" t="inlineStr">
        <is>
          <t>CH2 in</t>
        </is>
      </c>
      <c r="J1" s="15" t="inlineStr">
        <is>
          <t>CH3 in</t>
        </is>
      </c>
      <c r="K1" s="15" t="inlineStr">
        <is>
          <t>Golden CHx_OUT (hex)</t>
        </is>
      </c>
      <c r="L1" s="15" t="inlineStr">
        <is>
          <t>RTL CHx_OUT (hex)</t>
        </is>
      </c>
      <c r="M1" s="15" t="inlineStr">
        <is>
          <t>Output check</t>
        </is>
      </c>
      <c r="N1" s="15" t="inlineStr">
        <is>
          <t>Golden bit stream (32 bit)</t>
        </is>
      </c>
      <c r="O1" s="15" t="inlineStr">
        <is>
          <t>RTL bit stream (32 bit)</t>
        </is>
      </c>
      <c r="P1" s="15" t="inlineStr">
        <is>
          <t>Stream check</t>
        </is>
      </c>
      <c r="Q1" s="15" t="inlineStr">
        <is>
          <t>Latency (cycles)</t>
        </is>
      </c>
      <c r="R1" s="15" t="inlineStr">
        <is>
          <t>Latency (ns)</t>
        </is>
      </c>
      <c r="S1" s="15" t="inlineStr">
        <is>
          <t>Latency check</t>
        </is>
      </c>
      <c r="T1" s="15" t="inlineStr">
        <is>
          <t>Result</t>
        </is>
      </c>
    </row>
    <row r="2">
      <c r="A2" s="16" t="n">
        <v>1</v>
      </c>
      <c r="B2" s="5" t="inlineStr">
        <is>
          <t>2026-10-22 16:04:25</t>
        </is>
      </c>
      <c r="C2" s="5" t="inlineStr">
        <is>
          <t>input_vectors.hex</t>
        </is>
      </c>
      <c r="D2" s="16" t="n">
        <v>0</v>
      </c>
      <c r="E2" s="16" t="inlineStr">
        <is>
          <t>Cold start</t>
        </is>
      </c>
      <c r="F2" s="17" t="inlineStr">
        <is>
          <t>A3B1799D</t>
        </is>
      </c>
      <c r="G2" s="17">
        <f>MID(F2,1,2)</f>
        <v/>
      </c>
      <c r="H2" s="17">
        <f>MID(F2,3,2)</f>
        <v/>
      </c>
      <c r="I2" s="17">
        <f>MID(F2,5,2)</f>
        <v/>
      </c>
      <c r="J2" s="17">
        <f>MID(F2,7,2)</f>
        <v/>
      </c>
      <c r="K2" s="17" t="inlineStr">
        <is>
          <t>A3B1799D</t>
        </is>
      </c>
      <c r="L2" s="17" t="inlineStr">
        <is>
          <t>A3B1799D</t>
        </is>
      </c>
      <c r="M2" s="16">
        <f>IF(K2=L2,"MATCH","MISMATCH")</f>
        <v/>
      </c>
      <c r="N2" s="18" t="inlineStr">
        <is>
          <t>10100011101100010111100110011101</t>
        </is>
      </c>
      <c r="O2" s="18" t="inlineStr">
        <is>
          <t>10100011101100010111100110011101</t>
        </is>
      </c>
      <c r="P2" s="16">
        <f>IF(N2=O2,"MATCH","MISMATCH")</f>
        <v/>
      </c>
      <c r="Q2" s="16" t="n">
        <v>33</v>
      </c>
      <c r="R2" s="12">
        <f>IF(Q2&lt;0,"n/a",Q2*Summary!$B$11)</f>
        <v/>
      </c>
      <c r="S2" s="16">
        <f>IF(Q2&lt;0,"NEVER",IF(Q2&lt;=Summary!$B$12,"OK","OVER LIMIT"))</f>
        <v/>
      </c>
      <c r="T2" s="16">
        <f>IF(AND(M2="MATCH",P2="MATCH",S2="OK"),"PASS","FAIL")</f>
        <v/>
      </c>
    </row>
    <row r="3">
      <c r="A3" s="16" t="n">
        <v>1</v>
      </c>
      <c r="B3" s="5" t="inlineStr">
        <is>
          <t>2026-10-22 16:04:25</t>
        </is>
      </c>
      <c r="C3" s="5" t="inlineStr">
        <is>
          <t>input_vectors.hex</t>
        </is>
      </c>
      <c r="D3" s="16" t="n">
        <v>1</v>
      </c>
      <c r="E3" s="16" t="inlineStr">
        <is>
          <t>Mid-stream</t>
        </is>
      </c>
      <c r="F3" s="17" t="inlineStr">
        <is>
          <t>1C80317F</t>
        </is>
      </c>
      <c r="G3" s="17">
        <f>MID(F3,1,2)</f>
        <v/>
      </c>
      <c r="H3" s="17">
        <f>MID(F3,3,2)</f>
        <v/>
      </c>
      <c r="I3" s="17">
        <f>MID(F3,5,2)</f>
        <v/>
      </c>
      <c r="J3" s="17">
        <f>MID(F3,7,2)</f>
        <v/>
      </c>
      <c r="K3" s="17" t="inlineStr">
        <is>
          <t>1C80317F</t>
        </is>
      </c>
      <c r="L3" s="17" t="inlineStr">
        <is>
          <t>1C80317F</t>
        </is>
      </c>
      <c r="M3" s="16">
        <f>IF(K3=L3,"MATCH","MISMATCH")</f>
        <v/>
      </c>
      <c r="N3" s="18" t="inlineStr">
        <is>
          <t>00011100100000000011000101111111</t>
        </is>
      </c>
      <c r="O3" s="18" t="inlineStr">
        <is>
          <t>00011100100000000011000101111111</t>
        </is>
      </c>
      <c r="P3" s="16">
        <f>IF(N3=O3,"MATCH","MISMATCH")</f>
        <v/>
      </c>
      <c r="Q3" s="16" t="n">
        <v>40</v>
      </c>
      <c r="R3" s="12">
        <f>IF(Q3&lt;0,"n/a",Q3*Summary!$B$11)</f>
        <v/>
      </c>
      <c r="S3" s="16">
        <f>IF(Q3&lt;0,"NEVER",IF(Q3&lt;=Summary!$B$12,"OK","OVER LIMIT"))</f>
        <v/>
      </c>
      <c r="T3" s="16">
        <f>IF(AND(M3="MATCH",P3="MATCH",S3="OK"),"PASS","FAIL")</f>
        <v/>
      </c>
    </row>
    <row r="4">
      <c r="A4" s="16" t="n">
        <v>1</v>
      </c>
      <c r="B4" s="5" t="inlineStr">
        <is>
          <t>2026-10-22 16:04:25</t>
        </is>
      </c>
      <c r="C4" s="5" t="inlineStr">
        <is>
          <t>input_vectors.hex</t>
        </is>
      </c>
      <c r="D4" s="16" t="n">
        <v>2</v>
      </c>
      <c r="E4" s="16" t="inlineStr">
        <is>
          <t>Mid-stream</t>
        </is>
      </c>
      <c r="F4" s="17" t="inlineStr">
        <is>
          <t>06671AD1</t>
        </is>
      </c>
      <c r="G4" s="17">
        <f>MID(F4,1,2)</f>
        <v/>
      </c>
      <c r="H4" s="17">
        <f>MID(F4,3,2)</f>
        <v/>
      </c>
      <c r="I4" s="17">
        <f>MID(F4,5,2)</f>
        <v/>
      </c>
      <c r="J4" s="17">
        <f>MID(F4,7,2)</f>
        <v/>
      </c>
      <c r="K4" s="17" t="inlineStr">
        <is>
          <t>06671AD1</t>
        </is>
      </c>
      <c r="L4" s="17" t="inlineStr">
        <is>
          <t>06671AD1</t>
        </is>
      </c>
      <c r="M4" s="16">
        <f>IF(K4=L4,"MATCH","MISMATCH")</f>
        <v/>
      </c>
      <c r="N4" s="18" t="inlineStr">
        <is>
          <t>00000110011001110001101011010001</t>
        </is>
      </c>
      <c r="O4" s="18" t="inlineStr">
        <is>
          <t>00000110011001110001101011010001</t>
        </is>
      </c>
      <c r="P4" s="16">
        <f>IF(N4=O4,"MATCH","MISMATCH")</f>
        <v/>
      </c>
      <c r="Q4" s="16" t="n">
        <v>40</v>
      </c>
      <c r="R4" s="12">
        <f>IF(Q4&lt;0,"n/a",Q4*Summary!$B$11)</f>
        <v/>
      </c>
      <c r="S4" s="16">
        <f>IF(Q4&lt;0,"NEVER",IF(Q4&lt;=Summary!$B$12,"OK","OVER LIMIT"))</f>
        <v/>
      </c>
      <c r="T4" s="16">
        <f>IF(AND(M4="MATCH",P4="MATCH",S4="OK"),"PASS","FAIL")</f>
        <v/>
      </c>
    </row>
    <row r="5">
      <c r="A5" s="16" t="n">
        <v>1</v>
      </c>
      <c r="B5" s="5" t="inlineStr">
        <is>
          <t>2026-10-22 16:04:25</t>
        </is>
      </c>
      <c r="C5" s="5" t="inlineStr">
        <is>
          <t>input_vectors.hex</t>
        </is>
      </c>
      <c r="D5" s="16" t="n">
        <v>3</v>
      </c>
      <c r="E5" s="16" t="inlineStr">
        <is>
          <t>Mid-stream</t>
        </is>
      </c>
      <c r="F5" s="17" t="inlineStr">
        <is>
          <t>BDD640FB</t>
        </is>
      </c>
      <c r="G5" s="17">
        <f>MID(F5,1,2)</f>
        <v/>
      </c>
      <c r="H5" s="17">
        <f>MID(F5,3,2)</f>
        <v/>
      </c>
      <c r="I5" s="17">
        <f>MID(F5,5,2)</f>
        <v/>
      </c>
      <c r="J5" s="17">
        <f>MID(F5,7,2)</f>
        <v/>
      </c>
      <c r="K5" s="17" t="inlineStr">
        <is>
          <t>BDD640FB</t>
        </is>
      </c>
      <c r="L5" s="17" t="inlineStr">
        <is>
          <t>BDD640FB</t>
        </is>
      </c>
      <c r="M5" s="16">
        <f>IF(K5=L5,"MATCH","MISMATCH")</f>
        <v/>
      </c>
      <c r="N5" s="18" t="inlineStr">
        <is>
          <t>10111101110101100100000011111011</t>
        </is>
      </c>
      <c r="O5" s="18" t="inlineStr">
        <is>
          <t>10111101110101100100000011111011</t>
        </is>
      </c>
      <c r="P5" s="16">
        <f>IF(N5=O5,"MATCH","MISMATCH")</f>
        <v/>
      </c>
      <c r="Q5" s="16" t="n">
        <v>40</v>
      </c>
      <c r="R5" s="12">
        <f>IF(Q5&lt;0,"n/a",Q5*Summary!$B$11)</f>
        <v/>
      </c>
      <c r="S5" s="16">
        <f>IF(Q5&lt;0,"NEVER",IF(Q5&lt;=Summary!$B$12,"OK","OVER LIMIT"))</f>
        <v/>
      </c>
      <c r="T5" s="16">
        <f>IF(AND(M5="MATCH",P5="MATCH",S5="OK"),"PASS","FAIL")</f>
        <v/>
      </c>
    </row>
    <row r="6">
      <c r="A6" s="16" t="n">
        <v>1</v>
      </c>
      <c r="B6" s="5" t="inlineStr">
        <is>
          <t>2026-10-22 16:04:25</t>
        </is>
      </c>
      <c r="C6" s="5" t="inlineStr">
        <is>
          <t>input_vectors.hex</t>
        </is>
      </c>
      <c r="D6" s="16" t="n">
        <v>4</v>
      </c>
      <c r="E6" s="16" t="inlineStr">
        <is>
          <t>Mid-stream</t>
        </is>
      </c>
      <c r="F6" s="17" t="inlineStr">
        <is>
          <t>46685257</t>
        </is>
      </c>
      <c r="G6" s="17">
        <f>MID(F6,1,2)</f>
        <v/>
      </c>
      <c r="H6" s="17">
        <f>MID(F6,3,2)</f>
        <v/>
      </c>
      <c r="I6" s="17">
        <f>MID(F6,5,2)</f>
        <v/>
      </c>
      <c r="J6" s="17">
        <f>MID(F6,7,2)</f>
        <v/>
      </c>
      <c r="K6" s="17" t="inlineStr">
        <is>
          <t>46685257</t>
        </is>
      </c>
      <c r="L6" s="17" t="inlineStr">
        <is>
          <t>46685257</t>
        </is>
      </c>
      <c r="M6" s="16">
        <f>IF(K6=L6,"MATCH","MISMATCH")</f>
        <v/>
      </c>
      <c r="N6" s="18" t="inlineStr">
        <is>
          <t>01000110011010000101001001010111</t>
        </is>
      </c>
      <c r="O6" s="18" t="inlineStr">
        <is>
          <t>01000110011010000101001001010111</t>
        </is>
      </c>
      <c r="P6" s="16">
        <f>IF(N6=O6,"MATCH","MISMATCH")</f>
        <v/>
      </c>
      <c r="Q6" s="16" t="n">
        <v>40</v>
      </c>
      <c r="R6" s="12">
        <f>IF(Q6&lt;0,"n/a",Q6*Summary!$B$11)</f>
        <v/>
      </c>
      <c r="S6" s="16">
        <f>IF(Q6&lt;0,"NEVER",IF(Q6&lt;=Summary!$B$12,"OK","OVER LIMIT"))</f>
        <v/>
      </c>
      <c r="T6" s="16">
        <f>IF(AND(M6="MATCH",P6="MATCH",S6="OK"),"PASS","FAIL")</f>
        <v/>
      </c>
    </row>
    <row r="7">
      <c r="A7" s="16" t="n">
        <v>1</v>
      </c>
      <c r="B7" s="5" t="inlineStr">
        <is>
          <t>2026-10-22 16:04:25</t>
        </is>
      </c>
      <c r="C7" s="5" t="inlineStr">
        <is>
          <t>input_vectors.hex</t>
        </is>
      </c>
      <c r="D7" s="16" t="n">
        <v>5</v>
      </c>
      <c r="E7" s="16" t="inlineStr">
        <is>
          <t>Mid-stream</t>
        </is>
      </c>
      <c r="F7" s="17" t="inlineStr">
        <is>
          <t>3EB13B90</t>
        </is>
      </c>
      <c r="G7" s="17">
        <f>MID(F7,1,2)</f>
        <v/>
      </c>
      <c r="H7" s="17">
        <f>MID(F7,3,2)</f>
        <v/>
      </c>
      <c r="I7" s="17">
        <f>MID(F7,5,2)</f>
        <v/>
      </c>
      <c r="J7" s="17">
        <f>MID(F7,7,2)</f>
        <v/>
      </c>
      <c r="K7" s="17" t="inlineStr">
        <is>
          <t>3EB13B90</t>
        </is>
      </c>
      <c r="L7" s="17" t="inlineStr">
        <is>
          <t>3EB13B90</t>
        </is>
      </c>
      <c r="M7" s="16">
        <f>IF(K7=L7,"MATCH","MISMATCH")</f>
        <v/>
      </c>
      <c r="N7" s="18" t="inlineStr">
        <is>
          <t>00111110101100010011101110010000</t>
        </is>
      </c>
      <c r="O7" s="18" t="inlineStr">
        <is>
          <t>00111110101100010011101110010000</t>
        </is>
      </c>
      <c r="P7" s="16">
        <f>IF(N7=O7,"MATCH","MISMATCH")</f>
        <v/>
      </c>
      <c r="Q7" s="16" t="n">
        <v>40</v>
      </c>
      <c r="R7" s="12">
        <f>IF(Q7&lt;0,"n/a",Q7*Summary!$B$11)</f>
        <v/>
      </c>
      <c r="S7" s="16">
        <f>IF(Q7&lt;0,"NEVER",IF(Q7&lt;=Summary!$B$12,"OK","OVER LIMIT"))</f>
        <v/>
      </c>
      <c r="T7" s="16">
        <f>IF(AND(M7="MATCH",P7="MATCH",S7="OK"),"PASS","FAIL")</f>
        <v/>
      </c>
    </row>
    <row r="8">
      <c r="A8" s="16" t="n">
        <v>1</v>
      </c>
      <c r="B8" s="5" t="inlineStr">
        <is>
          <t>2026-10-22 16:04:25</t>
        </is>
      </c>
      <c r="C8" s="5" t="inlineStr">
        <is>
          <t>input_vectors.hex</t>
        </is>
      </c>
      <c r="D8" s="16" t="n">
        <v>6</v>
      </c>
      <c r="E8" s="16" t="inlineStr">
        <is>
          <t>Mid-stream</t>
        </is>
      </c>
      <c r="F8" s="17" t="inlineStr">
        <is>
          <t>392456DE</t>
        </is>
      </c>
      <c r="G8" s="17">
        <f>MID(F8,1,2)</f>
        <v/>
      </c>
      <c r="H8" s="17">
        <f>MID(F8,3,2)</f>
        <v/>
      </c>
      <c r="I8" s="17">
        <f>MID(F8,5,2)</f>
        <v/>
      </c>
      <c r="J8" s="17">
        <f>MID(F8,7,2)</f>
        <v/>
      </c>
      <c r="K8" s="17" t="inlineStr">
        <is>
          <t>392456DE</t>
        </is>
      </c>
      <c r="L8" s="17" t="inlineStr">
        <is>
          <t>392456DE</t>
        </is>
      </c>
      <c r="M8" s="16">
        <f>IF(K8=L8,"MATCH","MISMATCH")</f>
        <v/>
      </c>
      <c r="N8" s="18" t="inlineStr">
        <is>
          <t>00111001001001000101011011011110</t>
        </is>
      </c>
      <c r="O8" s="18" t="inlineStr">
        <is>
          <t>00111001001001000101011011011110</t>
        </is>
      </c>
      <c r="P8" s="16">
        <f>IF(N8=O8,"MATCH","MISMATCH")</f>
        <v/>
      </c>
      <c r="Q8" s="16" t="n">
        <v>40</v>
      </c>
      <c r="R8" s="12">
        <f>IF(Q8&lt;0,"n/a",Q8*Summary!$B$11)</f>
        <v/>
      </c>
      <c r="S8" s="16">
        <f>IF(Q8&lt;0,"NEVER",IF(Q8&lt;=Summary!$B$12,"OK","OVER LIMIT"))</f>
        <v/>
      </c>
      <c r="T8" s="16">
        <f>IF(AND(M8="MATCH",P8="MATCH",S8="OK"),"PASS","FAIL")</f>
        <v/>
      </c>
    </row>
    <row r="9">
      <c r="A9" s="16" t="n">
        <v>1</v>
      </c>
      <c r="B9" s="5" t="inlineStr">
        <is>
          <t>2026-10-22 16:04:25</t>
        </is>
      </c>
      <c r="C9" s="5" t="inlineStr">
        <is>
          <t>input_vectors.hex</t>
        </is>
      </c>
      <c r="D9" s="16" t="n">
        <v>7</v>
      </c>
      <c r="E9" s="16" t="inlineStr">
        <is>
          <t>Mid-stream</t>
        </is>
      </c>
      <c r="F9" s="17" t="inlineStr">
        <is>
          <t>23B8C1E9</t>
        </is>
      </c>
      <c r="G9" s="17">
        <f>MID(F9,1,2)</f>
        <v/>
      </c>
      <c r="H9" s="17">
        <f>MID(F9,3,2)</f>
        <v/>
      </c>
      <c r="I9" s="17">
        <f>MID(F9,5,2)</f>
        <v/>
      </c>
      <c r="J9" s="17">
        <f>MID(F9,7,2)</f>
        <v/>
      </c>
      <c r="K9" s="17" t="inlineStr">
        <is>
          <t>23B8C1E9</t>
        </is>
      </c>
      <c r="L9" s="17" t="inlineStr">
        <is>
          <t>23B8C1E9</t>
        </is>
      </c>
      <c r="M9" s="16">
        <f>IF(K9=L9,"MATCH","MISMATCH")</f>
        <v/>
      </c>
      <c r="N9" s="18" t="inlineStr">
        <is>
          <t>00100011101110001100000111101001</t>
        </is>
      </c>
      <c r="O9" s="18" t="inlineStr">
        <is>
          <t>00100011101110001100000111101001</t>
        </is>
      </c>
      <c r="P9" s="16">
        <f>IF(N9=O9,"MATCH","MISMATCH")</f>
        <v/>
      </c>
      <c r="Q9" s="16" t="n">
        <v>40</v>
      </c>
      <c r="R9" s="12">
        <f>IF(Q9&lt;0,"n/a",Q9*Summary!$B$11)</f>
        <v/>
      </c>
      <c r="S9" s="16">
        <f>IF(Q9&lt;0,"NEVER",IF(Q9&lt;=Summary!$B$12,"OK","OVER LIMIT"))</f>
        <v/>
      </c>
      <c r="T9" s="16">
        <f>IF(AND(M9="MATCH",P9="MATCH",S9="OK"),"PASS","FAIL")</f>
        <v/>
      </c>
    </row>
    <row r="10">
      <c r="A10" s="16" t="n">
        <v>1</v>
      </c>
      <c r="B10" s="5" t="inlineStr">
        <is>
          <t>2026-10-22 16:04:25</t>
        </is>
      </c>
      <c r="C10" s="5" t="inlineStr">
        <is>
          <t>input_vectors.hex</t>
        </is>
      </c>
      <c r="D10" s="16" t="n">
        <v>8</v>
      </c>
      <c r="E10" s="16" t="inlineStr">
        <is>
          <t>Mid-stream</t>
        </is>
      </c>
      <c r="F10" s="17" t="inlineStr">
        <is>
          <t>BC8960A9</t>
        </is>
      </c>
      <c r="G10" s="17">
        <f>MID(F10,1,2)</f>
        <v/>
      </c>
      <c r="H10" s="17">
        <f>MID(F10,3,2)</f>
        <v/>
      </c>
      <c r="I10" s="17">
        <f>MID(F10,5,2)</f>
        <v/>
      </c>
      <c r="J10" s="17">
        <f>MID(F10,7,2)</f>
        <v/>
      </c>
      <c r="K10" s="17" t="inlineStr">
        <is>
          <t>BC8960A9</t>
        </is>
      </c>
      <c r="L10" s="17" t="inlineStr">
        <is>
          <t>BC8960A9</t>
        </is>
      </c>
      <c r="M10" s="16">
        <f>IF(K10=L10,"MATCH","MISMATCH")</f>
        <v/>
      </c>
      <c r="N10" s="18" t="inlineStr">
        <is>
          <t>10111100100010010110000010101001</t>
        </is>
      </c>
      <c r="O10" s="18" t="inlineStr">
        <is>
          <t>10111100100010010110000010101001</t>
        </is>
      </c>
      <c r="P10" s="16">
        <f>IF(N10=O10,"MATCH","MISMATCH")</f>
        <v/>
      </c>
      <c r="Q10" s="16" t="n">
        <v>40</v>
      </c>
      <c r="R10" s="12">
        <f>IF(Q10&lt;0,"n/a",Q10*Summary!$B$11)</f>
        <v/>
      </c>
      <c r="S10" s="16">
        <f>IF(Q10&lt;0,"NEVER",IF(Q10&lt;=Summary!$B$12,"OK","OVER LIMIT"))</f>
        <v/>
      </c>
      <c r="T10" s="16">
        <f>IF(AND(M10="MATCH",P10="MATCH",S10="OK"),"PASS","FAIL")</f>
        <v/>
      </c>
    </row>
    <row r="11">
      <c r="A11" s="16" t="n">
        <v>1</v>
      </c>
      <c r="B11" s="5" t="inlineStr">
        <is>
          <t>2026-10-22 16:04:25</t>
        </is>
      </c>
      <c r="C11" s="5" t="inlineStr">
        <is>
          <t>input_vectors.hex</t>
        </is>
      </c>
      <c r="D11" s="16" t="n">
        <v>9</v>
      </c>
      <c r="E11" s="16" t="inlineStr">
        <is>
          <t>Mid-stream</t>
        </is>
      </c>
      <c r="F11" s="17" t="inlineStr">
        <is>
          <t>1A3D1FA7</t>
        </is>
      </c>
      <c r="G11" s="17">
        <f>MID(F11,1,2)</f>
        <v/>
      </c>
      <c r="H11" s="17">
        <f>MID(F11,3,2)</f>
        <v/>
      </c>
      <c r="I11" s="17">
        <f>MID(F11,5,2)</f>
        <v/>
      </c>
      <c r="J11" s="17">
        <f>MID(F11,7,2)</f>
        <v/>
      </c>
      <c r="K11" s="17" t="inlineStr">
        <is>
          <t>1A3D1FA7</t>
        </is>
      </c>
      <c r="L11" s="17" t="inlineStr">
        <is>
          <t>1A3D1FA7</t>
        </is>
      </c>
      <c r="M11" s="16">
        <f>IF(K11=L11,"MATCH","MISMATCH")</f>
        <v/>
      </c>
      <c r="N11" s="18" t="inlineStr">
        <is>
          <t>00011010001111010001111110100111</t>
        </is>
      </c>
      <c r="O11" s="18" t="inlineStr">
        <is>
          <t>00011010001111010001111110100111</t>
        </is>
      </c>
      <c r="P11" s="16">
        <f>IF(N11=O11,"MATCH","MISMATCH")</f>
        <v/>
      </c>
      <c r="Q11" s="16" t="n">
        <v>40</v>
      </c>
      <c r="R11" s="12">
        <f>IF(Q11&lt;0,"n/a",Q11*Summary!$B$11)</f>
        <v/>
      </c>
      <c r="S11" s="16">
        <f>IF(Q11&lt;0,"NEVER",IF(Q11&lt;=Summary!$B$12,"OK","OVER LIMIT"))</f>
        <v/>
      </c>
      <c r="T11" s="16">
        <f>IF(AND(M11="MATCH",P11="MATCH",S11="OK"),"PASS","FAIL")</f>
        <v/>
      </c>
    </row>
    <row r="12">
      <c r="A12" s="16" t="n">
        <v>1</v>
      </c>
      <c r="B12" s="5" t="inlineStr">
        <is>
          <t>2026-10-22 16:04:25</t>
        </is>
      </c>
      <c r="C12" s="5" t="inlineStr">
        <is>
          <t>input_vectors.hex</t>
        </is>
      </c>
      <c r="D12" s="16" t="n">
        <v>10</v>
      </c>
      <c r="E12" s="16" t="inlineStr">
        <is>
          <t>Mid-stream</t>
        </is>
      </c>
      <c r="F12" s="17" t="inlineStr">
        <is>
          <t>AD3C2D6D</t>
        </is>
      </c>
      <c r="G12" s="17">
        <f>MID(F12,1,2)</f>
        <v/>
      </c>
      <c r="H12" s="17">
        <f>MID(F12,3,2)</f>
        <v/>
      </c>
      <c r="I12" s="17">
        <f>MID(F12,5,2)</f>
        <v/>
      </c>
      <c r="J12" s="17">
        <f>MID(F12,7,2)</f>
        <v/>
      </c>
      <c r="K12" s="17" t="inlineStr">
        <is>
          <t>AD3C2D6D</t>
        </is>
      </c>
      <c r="L12" s="17" t="inlineStr">
        <is>
          <t>AD3C2D6D</t>
        </is>
      </c>
      <c r="M12" s="16">
        <f>IF(K12=L12,"MATCH","MISMATCH")</f>
        <v/>
      </c>
      <c r="N12" s="18" t="inlineStr">
        <is>
          <t>10101101001111000010110101101101</t>
        </is>
      </c>
      <c r="O12" s="18" t="inlineStr">
        <is>
          <t>10101101001111000010110101101101</t>
        </is>
      </c>
      <c r="P12" s="16">
        <f>IF(N12=O12,"MATCH","MISMATCH")</f>
        <v/>
      </c>
      <c r="Q12" s="16" t="n">
        <v>40</v>
      </c>
      <c r="R12" s="12">
        <f>IF(Q12&lt;0,"n/a",Q12*Summary!$B$11)</f>
        <v/>
      </c>
      <c r="S12" s="16">
        <f>IF(Q12&lt;0,"NEVER",IF(Q12&lt;=Summary!$B$12,"OK","OVER LIMIT"))</f>
        <v/>
      </c>
      <c r="T12" s="16">
        <f>IF(AND(M12="MATCH",P12="MATCH",S12="OK"),"PASS","FAIL")</f>
        <v/>
      </c>
    </row>
    <row r="13">
      <c r="A13" s="16" t="n">
        <v>1</v>
      </c>
      <c r="B13" s="5" t="inlineStr">
        <is>
          <t>2026-10-22 16:04:25</t>
        </is>
      </c>
      <c r="C13" s="5" t="inlineStr">
        <is>
          <t>input_vectors.hex</t>
        </is>
      </c>
      <c r="D13" s="16" t="n">
        <v>11</v>
      </c>
      <c r="E13" s="16" t="inlineStr">
        <is>
          <t>Mid-stream</t>
        </is>
      </c>
      <c r="F13" s="17" t="inlineStr">
        <is>
          <t>BD9C66B3</t>
        </is>
      </c>
      <c r="G13" s="17">
        <f>MID(F13,1,2)</f>
        <v/>
      </c>
      <c r="H13" s="17">
        <f>MID(F13,3,2)</f>
        <v/>
      </c>
      <c r="I13" s="17">
        <f>MID(F13,5,2)</f>
        <v/>
      </c>
      <c r="J13" s="17">
        <f>MID(F13,7,2)</f>
        <v/>
      </c>
      <c r="K13" s="17" t="inlineStr">
        <is>
          <t>BD9C66B3</t>
        </is>
      </c>
      <c r="L13" s="17" t="inlineStr">
        <is>
          <t>BD9C66B3</t>
        </is>
      </c>
      <c r="M13" s="16">
        <f>IF(K13=L13,"MATCH","MISMATCH")</f>
        <v/>
      </c>
      <c r="N13" s="18" t="inlineStr">
        <is>
          <t>10111101100111000110011010110011</t>
        </is>
      </c>
      <c r="O13" s="18" t="inlineStr">
        <is>
          <t>10111101100111000110011010110011</t>
        </is>
      </c>
      <c r="P13" s="16">
        <f>IF(N13=O13,"MATCH","MISMATCH")</f>
        <v/>
      </c>
      <c r="Q13" s="16" t="n">
        <v>40</v>
      </c>
      <c r="R13" s="12">
        <f>IF(Q13&lt;0,"n/a",Q13*Summary!$B$11)</f>
        <v/>
      </c>
      <c r="S13" s="16">
        <f>IF(Q13&lt;0,"NEVER",IF(Q13&lt;=Summary!$B$12,"OK","OVER LIMIT"))</f>
        <v/>
      </c>
      <c r="T13" s="16">
        <f>IF(AND(M13="MATCH",P13="MATCH",S13="OK"),"PASS","FAIL")</f>
        <v/>
      </c>
    </row>
    <row r="14">
      <c r="A14" s="16" t="n">
        <v>1</v>
      </c>
      <c r="B14" s="5" t="inlineStr">
        <is>
          <t>2026-10-22 16:04:25</t>
        </is>
      </c>
      <c r="C14" s="5" t="inlineStr">
        <is>
          <t>input_vectors.hex</t>
        </is>
      </c>
      <c r="D14" s="16" t="n">
        <v>12</v>
      </c>
      <c r="E14" s="16" t="inlineStr">
        <is>
          <t>Mid-stream</t>
        </is>
      </c>
      <c r="F14" s="17" t="inlineStr">
        <is>
          <t>E465E150</t>
        </is>
      </c>
      <c r="G14" s="17">
        <f>MID(F14,1,2)</f>
        <v/>
      </c>
      <c r="H14" s="17">
        <f>MID(F14,3,2)</f>
        <v/>
      </c>
      <c r="I14" s="17">
        <f>MID(F14,5,2)</f>
        <v/>
      </c>
      <c r="J14" s="17">
        <f>MID(F14,7,2)</f>
        <v/>
      </c>
      <c r="K14" s="17" t="inlineStr">
        <is>
          <t>E465E150</t>
        </is>
      </c>
      <c r="L14" s="17" t="inlineStr">
        <is>
          <t>E465E150</t>
        </is>
      </c>
      <c r="M14" s="16">
        <f>IF(K14=L14,"MATCH","MISMATCH")</f>
        <v/>
      </c>
      <c r="N14" s="18" t="inlineStr">
        <is>
          <t>11100100011001011110000101010000</t>
        </is>
      </c>
      <c r="O14" s="18" t="inlineStr">
        <is>
          <t>11100100011001011110000101010000</t>
        </is>
      </c>
      <c r="P14" s="16">
        <f>IF(N14=O14,"MATCH","MISMATCH")</f>
        <v/>
      </c>
      <c r="Q14" s="16" t="n">
        <v>40</v>
      </c>
      <c r="R14" s="12">
        <f>IF(Q14&lt;0,"n/a",Q14*Summary!$B$11)</f>
        <v/>
      </c>
      <c r="S14" s="16">
        <f>IF(Q14&lt;0,"NEVER",IF(Q14&lt;=Summary!$B$12,"OK","OVER LIMIT"))</f>
        <v/>
      </c>
      <c r="T14" s="16">
        <f>IF(AND(M14="MATCH",P14="MATCH",S14="OK"),"PASS","FAIL")</f>
        <v/>
      </c>
    </row>
    <row r="15">
      <c r="A15" s="16" t="n">
        <v>1</v>
      </c>
      <c r="B15" s="5" t="inlineStr">
        <is>
          <t>2026-10-22 16:04:25</t>
        </is>
      </c>
      <c r="C15" s="5" t="inlineStr">
        <is>
          <t>input_vectors.hex</t>
        </is>
      </c>
      <c r="D15" s="16" t="n">
        <v>13</v>
      </c>
      <c r="E15" s="16" t="inlineStr">
        <is>
          <t>Mid-stream</t>
        </is>
      </c>
      <c r="F15" s="17" t="inlineStr">
        <is>
          <t>8B9D2434</t>
        </is>
      </c>
      <c r="G15" s="17">
        <f>MID(F15,1,2)</f>
        <v/>
      </c>
      <c r="H15" s="17">
        <f>MID(F15,3,2)</f>
        <v/>
      </c>
      <c r="I15" s="17">
        <f>MID(F15,5,2)</f>
        <v/>
      </c>
      <c r="J15" s="17">
        <f>MID(F15,7,2)</f>
        <v/>
      </c>
      <c r="K15" s="17" t="inlineStr">
        <is>
          <t>8B9D2434</t>
        </is>
      </c>
      <c r="L15" s="17" t="inlineStr">
        <is>
          <t>8B9D2434</t>
        </is>
      </c>
      <c r="M15" s="16">
        <f>IF(K15=L15,"MATCH","MISMATCH")</f>
        <v/>
      </c>
      <c r="N15" s="18" t="inlineStr">
        <is>
          <t>10001011100111010010010000110100</t>
        </is>
      </c>
      <c r="O15" s="18" t="inlineStr">
        <is>
          <t>10001011100111010010010000110100</t>
        </is>
      </c>
      <c r="P15" s="16">
        <f>IF(N15=O15,"MATCH","MISMATCH")</f>
        <v/>
      </c>
      <c r="Q15" s="16" t="n">
        <v>40</v>
      </c>
      <c r="R15" s="12">
        <f>IF(Q15&lt;0,"n/a",Q15*Summary!$B$11)</f>
        <v/>
      </c>
      <c r="S15" s="16">
        <f>IF(Q15&lt;0,"NEVER",IF(Q15&lt;=Summary!$B$12,"OK","OVER LIMIT"))</f>
        <v/>
      </c>
      <c r="T15" s="16">
        <f>IF(AND(M15="MATCH",P15="MATCH",S15="OK"),"PASS","FAIL")</f>
        <v/>
      </c>
    </row>
    <row r="16">
      <c r="A16" s="16" t="n">
        <v>1</v>
      </c>
      <c r="B16" s="5" t="inlineStr">
        <is>
          <t>2026-10-22 16:04:25</t>
        </is>
      </c>
      <c r="C16" s="5" t="inlineStr">
        <is>
          <t>input_vectors.hex</t>
        </is>
      </c>
      <c r="D16" s="16" t="n">
        <v>14</v>
      </c>
      <c r="E16" s="16" t="inlineStr">
        <is>
          <t>Mid-stream</t>
        </is>
      </c>
      <c r="F16" s="17" t="inlineStr">
        <is>
          <t>16419F82</t>
        </is>
      </c>
      <c r="G16" s="17">
        <f>MID(F16,1,2)</f>
        <v/>
      </c>
      <c r="H16" s="17">
        <f>MID(F16,3,2)</f>
        <v/>
      </c>
      <c r="I16" s="17">
        <f>MID(F16,5,2)</f>
        <v/>
      </c>
      <c r="J16" s="17">
        <f>MID(F16,7,2)</f>
        <v/>
      </c>
      <c r="K16" s="17" t="inlineStr">
        <is>
          <t>16419F82</t>
        </is>
      </c>
      <c r="L16" s="17" t="inlineStr">
        <is>
          <t>16419F82</t>
        </is>
      </c>
      <c r="M16" s="16">
        <f>IF(K16=L16,"MATCH","MISMATCH")</f>
        <v/>
      </c>
      <c r="N16" s="18" t="inlineStr">
        <is>
          <t>00010110010000011001111110000010</t>
        </is>
      </c>
      <c r="O16" s="18" t="inlineStr">
        <is>
          <t>00010110010000011001111110000010</t>
        </is>
      </c>
      <c r="P16" s="16">
        <f>IF(N16=O16,"MATCH","MISMATCH")</f>
        <v/>
      </c>
      <c r="Q16" s="16" t="n">
        <v>40</v>
      </c>
      <c r="R16" s="12">
        <f>IF(Q16&lt;0,"n/a",Q16*Summary!$B$11)</f>
        <v/>
      </c>
      <c r="S16" s="16">
        <f>IF(Q16&lt;0,"NEVER",IF(Q16&lt;=Summary!$B$12,"OK","OVER LIMIT"))</f>
        <v/>
      </c>
      <c r="T16" s="16">
        <f>IF(AND(M16="MATCH",P16="MATCH",S16="OK"),"PASS","FAIL")</f>
        <v/>
      </c>
    </row>
    <row r="17">
      <c r="A17" s="16" t="n">
        <v>1</v>
      </c>
      <c r="B17" s="5" t="inlineStr">
        <is>
          <t>2026-10-22 16:04:25</t>
        </is>
      </c>
      <c r="C17" s="5" t="inlineStr">
        <is>
          <t>input_vectors.hex</t>
        </is>
      </c>
      <c r="D17" s="16" t="n">
        <v>15</v>
      </c>
      <c r="E17" s="16" t="inlineStr">
        <is>
          <t>Mid-stream</t>
        </is>
      </c>
      <c r="F17" s="17" t="inlineStr">
        <is>
          <t>972A8469</t>
        </is>
      </c>
      <c r="G17" s="17">
        <f>MID(F17,1,2)</f>
        <v/>
      </c>
      <c r="H17" s="17">
        <f>MID(F17,3,2)</f>
        <v/>
      </c>
      <c r="I17" s="17">
        <f>MID(F17,5,2)</f>
        <v/>
      </c>
      <c r="J17" s="17">
        <f>MID(F17,7,2)</f>
        <v/>
      </c>
      <c r="K17" s="17" t="inlineStr">
        <is>
          <t>972A8469</t>
        </is>
      </c>
      <c r="L17" s="17" t="inlineStr">
        <is>
          <t>972A8469</t>
        </is>
      </c>
      <c r="M17" s="16">
        <f>IF(K17=L17,"MATCH","MISMATCH")</f>
        <v/>
      </c>
      <c r="N17" s="18" t="inlineStr">
        <is>
          <t>10010111001010101000010001101001</t>
        </is>
      </c>
      <c r="O17" s="18" t="inlineStr">
        <is>
          <t>10010111001010101000010001101001</t>
        </is>
      </c>
      <c r="P17" s="16">
        <f>IF(N17=O17,"MATCH","MISMATCH")</f>
        <v/>
      </c>
      <c r="Q17" s="16" t="n">
        <v>40</v>
      </c>
      <c r="R17" s="12">
        <f>IF(Q17&lt;0,"n/a",Q17*Summary!$B$11)</f>
        <v/>
      </c>
      <c r="S17" s="16">
        <f>IF(Q17&lt;0,"NEVER",IF(Q17&lt;=Summary!$B$12,"OK","OVER LIMIT"))</f>
        <v/>
      </c>
      <c r="T17" s="16">
        <f>IF(AND(M17="MATCH",P17="MATCH",S17="OK"),"PASS","FAIL")</f>
        <v/>
      </c>
    </row>
    <row r="18">
      <c r="A18" s="16" t="n">
        <v>1</v>
      </c>
      <c r="B18" s="5" t="inlineStr">
        <is>
          <t>2026-10-22 16:04:25</t>
        </is>
      </c>
      <c r="C18" s="5" t="inlineStr">
        <is>
          <t>input_vectors.hex</t>
        </is>
      </c>
      <c r="D18" s="16" t="n">
        <v>16</v>
      </c>
      <c r="E18" s="16" t="inlineStr">
        <is>
          <t>Mid-stream</t>
        </is>
      </c>
      <c r="F18" s="17" t="inlineStr">
        <is>
          <t>6C031199</t>
        </is>
      </c>
      <c r="G18" s="17">
        <f>MID(F18,1,2)</f>
        <v/>
      </c>
      <c r="H18" s="17">
        <f>MID(F18,3,2)</f>
        <v/>
      </c>
      <c r="I18" s="17">
        <f>MID(F18,5,2)</f>
        <v/>
      </c>
      <c r="J18" s="17">
        <f>MID(F18,7,2)</f>
        <v/>
      </c>
      <c r="K18" s="17" t="inlineStr">
        <is>
          <t>6C031199</t>
        </is>
      </c>
      <c r="L18" s="17" t="inlineStr">
        <is>
          <t>6C031199</t>
        </is>
      </c>
      <c r="M18" s="16">
        <f>IF(K18=L18,"MATCH","MISMATCH")</f>
        <v/>
      </c>
      <c r="N18" s="18" t="inlineStr">
        <is>
          <t>01101100000000110001000110011001</t>
        </is>
      </c>
      <c r="O18" s="18" t="inlineStr">
        <is>
          <t>01101100000000110001000110011001</t>
        </is>
      </c>
      <c r="P18" s="16">
        <f>IF(N18=O18,"MATCH","MISMATCH")</f>
        <v/>
      </c>
      <c r="Q18" s="16" t="n">
        <v>40</v>
      </c>
      <c r="R18" s="12">
        <f>IF(Q18&lt;0,"n/a",Q18*Summary!$B$11)</f>
        <v/>
      </c>
      <c r="S18" s="16">
        <f>IF(Q18&lt;0,"NEVER",IF(Q18&lt;=Summary!$B$12,"OK","OVER LIMIT"))</f>
        <v/>
      </c>
      <c r="T18" s="16">
        <f>IF(AND(M18="MATCH",P18="MATCH",S18="OK"),"PASS","FAIL")</f>
        <v/>
      </c>
    </row>
    <row r="19">
      <c r="A19" s="16" t="n">
        <v>1</v>
      </c>
      <c r="B19" s="5" t="inlineStr">
        <is>
          <t>2026-10-22 16:04:25</t>
        </is>
      </c>
      <c r="C19" s="5" t="inlineStr">
        <is>
          <t>input_vectors.hex</t>
        </is>
      </c>
      <c r="D19" s="16" t="n">
        <v>17</v>
      </c>
      <c r="E19" s="16" t="inlineStr">
        <is>
          <t>Mid-stream</t>
        </is>
      </c>
      <c r="F19" s="17" t="inlineStr">
        <is>
          <t>0822E8F3</t>
        </is>
      </c>
      <c r="G19" s="17">
        <f>MID(F19,1,2)</f>
        <v/>
      </c>
      <c r="H19" s="17">
        <f>MID(F19,3,2)</f>
        <v/>
      </c>
      <c r="I19" s="17">
        <f>MID(F19,5,2)</f>
        <v/>
      </c>
      <c r="J19" s="17">
        <f>MID(F19,7,2)</f>
        <v/>
      </c>
      <c r="K19" s="17" t="inlineStr">
        <is>
          <t>0822E8F3</t>
        </is>
      </c>
      <c r="L19" s="17" t="inlineStr">
        <is>
          <t>0822E8F3</t>
        </is>
      </c>
      <c r="M19" s="16">
        <f>IF(K19=L19,"MATCH","MISMATCH")</f>
        <v/>
      </c>
      <c r="N19" s="18" t="inlineStr">
        <is>
          <t>00001000001000101110100011110011</t>
        </is>
      </c>
      <c r="O19" s="18" t="inlineStr">
        <is>
          <t>00001000001000101110100011110011</t>
        </is>
      </c>
      <c r="P19" s="16">
        <f>IF(N19=O19,"MATCH","MISMATCH")</f>
        <v/>
      </c>
      <c r="Q19" s="16" t="n">
        <v>40</v>
      </c>
      <c r="R19" s="12">
        <f>IF(Q19&lt;0,"n/a",Q19*Summary!$B$11)</f>
        <v/>
      </c>
      <c r="S19" s="16">
        <f>IF(Q19&lt;0,"NEVER",IF(Q19&lt;=Summary!$B$12,"OK","OVER LIMIT"))</f>
        <v/>
      </c>
      <c r="T19" s="16">
        <f>IF(AND(M19="MATCH",P19="MATCH",S19="OK"),"PASS","FAIL")</f>
        <v/>
      </c>
    </row>
    <row r="20">
      <c r="A20" s="16" t="n">
        <v>1</v>
      </c>
      <c r="B20" s="5" t="inlineStr">
        <is>
          <t>2026-10-22 16:04:25</t>
        </is>
      </c>
      <c r="C20" s="5" t="inlineStr">
        <is>
          <t>input_vectors.hex</t>
        </is>
      </c>
      <c r="D20" s="16" t="n">
        <v>18</v>
      </c>
      <c r="E20" s="16" t="inlineStr">
        <is>
          <t>Mid-stream</t>
        </is>
      </c>
      <c r="F20" s="17" t="inlineStr">
        <is>
          <t>07A0CA6E</t>
        </is>
      </c>
      <c r="G20" s="17">
        <f>MID(F20,1,2)</f>
        <v/>
      </c>
      <c r="H20" s="17">
        <f>MID(F20,3,2)</f>
        <v/>
      </c>
      <c r="I20" s="17">
        <f>MID(F20,5,2)</f>
        <v/>
      </c>
      <c r="J20" s="17">
        <f>MID(F20,7,2)</f>
        <v/>
      </c>
      <c r="K20" s="17" t="inlineStr">
        <is>
          <t>07A0CA6E</t>
        </is>
      </c>
      <c r="L20" s="17" t="inlineStr">
        <is>
          <t>07A0CA6E</t>
        </is>
      </c>
      <c r="M20" s="16">
        <f>IF(K20=L20,"MATCH","MISMATCH")</f>
        <v/>
      </c>
      <c r="N20" s="18" t="inlineStr">
        <is>
          <t>00000111101000001100101001101110</t>
        </is>
      </c>
      <c r="O20" s="18" t="inlineStr">
        <is>
          <t>00000111101000001100101001101110</t>
        </is>
      </c>
      <c r="P20" s="16">
        <f>IF(N20=O20,"MATCH","MISMATCH")</f>
        <v/>
      </c>
      <c r="Q20" s="16" t="n">
        <v>40</v>
      </c>
      <c r="R20" s="12">
        <f>IF(Q20&lt;0,"n/a",Q20*Summary!$B$11)</f>
        <v/>
      </c>
      <c r="S20" s="16">
        <f>IF(Q20&lt;0,"NEVER",IF(Q20&lt;=Summary!$B$12,"OK","OVER LIMIT"))</f>
        <v/>
      </c>
      <c r="T20" s="16">
        <f>IF(AND(M20="MATCH",P20="MATCH",S20="OK"),"PASS","FAIL")</f>
        <v/>
      </c>
    </row>
    <row r="21">
      <c r="A21" s="16" t="n">
        <v>1</v>
      </c>
      <c r="B21" s="5" t="inlineStr">
        <is>
          <t>2026-10-22 16:04:25</t>
        </is>
      </c>
      <c r="C21" s="5" t="inlineStr">
        <is>
          <t>input_vectors.hex</t>
        </is>
      </c>
      <c r="D21" s="16" t="n">
        <v>19</v>
      </c>
      <c r="E21" s="16" t="inlineStr">
        <is>
          <t>Mid-stream</t>
        </is>
      </c>
      <c r="F21" s="17" t="inlineStr">
        <is>
          <t>17FC695A</t>
        </is>
      </c>
      <c r="G21" s="17">
        <f>MID(F21,1,2)</f>
        <v/>
      </c>
      <c r="H21" s="17">
        <f>MID(F21,3,2)</f>
        <v/>
      </c>
      <c r="I21" s="17">
        <f>MID(F21,5,2)</f>
        <v/>
      </c>
      <c r="J21" s="17">
        <f>MID(F21,7,2)</f>
        <v/>
      </c>
      <c r="K21" s="17" t="inlineStr">
        <is>
          <t>17FC695A</t>
        </is>
      </c>
      <c r="L21" s="17" t="inlineStr">
        <is>
          <t>17FC695A</t>
        </is>
      </c>
      <c r="M21" s="16">
        <f>IF(K21=L21,"MATCH","MISMATCH")</f>
        <v/>
      </c>
      <c r="N21" s="18" t="inlineStr">
        <is>
          <t>00010111111111000110100101011010</t>
        </is>
      </c>
      <c r="O21" s="18" t="inlineStr">
        <is>
          <t>00010111111111000110100101011010</t>
        </is>
      </c>
      <c r="P21" s="16">
        <f>IF(N21=O21,"MATCH","MISMATCH")</f>
        <v/>
      </c>
      <c r="Q21" s="16" t="n">
        <v>40</v>
      </c>
      <c r="R21" s="12">
        <f>IF(Q21&lt;0,"n/a",Q21*Summary!$B$11)</f>
        <v/>
      </c>
      <c r="S21" s="16">
        <f>IF(Q21&lt;0,"NEVER",IF(Q21&lt;=Summary!$B$12,"OK","OVER LIMIT"))</f>
        <v/>
      </c>
      <c r="T21" s="16">
        <f>IF(AND(M21="MATCH",P21="MATCH",S21="OK"),"PASS","FAIL")</f>
        <v/>
      </c>
    </row>
    <row r="22">
      <c r="A22" s="16" t="n">
        <v>1</v>
      </c>
      <c r="B22" s="5" t="inlineStr">
        <is>
          <t>2026-10-22 16:04:25</t>
        </is>
      </c>
      <c r="C22" s="5" t="inlineStr">
        <is>
          <t>input_vectors.hex</t>
        </is>
      </c>
      <c r="D22" s="16" t="n">
        <v>20</v>
      </c>
      <c r="E22" s="16" t="inlineStr">
        <is>
          <t>Mid-stream</t>
        </is>
      </c>
      <c r="F22" s="17" t="inlineStr">
        <is>
          <t>37F8A88B</t>
        </is>
      </c>
      <c r="G22" s="17">
        <f>MID(F22,1,2)</f>
        <v/>
      </c>
      <c r="H22" s="17">
        <f>MID(F22,3,2)</f>
        <v/>
      </c>
      <c r="I22" s="17">
        <f>MID(F22,5,2)</f>
        <v/>
      </c>
      <c r="J22" s="17">
        <f>MID(F22,7,2)</f>
        <v/>
      </c>
      <c r="K22" s="17" t="inlineStr">
        <is>
          <t>37F8A88B</t>
        </is>
      </c>
      <c r="L22" s="17" t="inlineStr">
        <is>
          <t>37F8A88B</t>
        </is>
      </c>
      <c r="M22" s="16">
        <f>IF(K22=L22,"MATCH","MISMATCH")</f>
        <v/>
      </c>
      <c r="N22" s="18" t="inlineStr">
        <is>
          <t>00110111111110001010100010001011</t>
        </is>
      </c>
      <c r="O22" s="18" t="inlineStr">
        <is>
          <t>00110111111110001010100010001011</t>
        </is>
      </c>
      <c r="P22" s="16">
        <f>IF(N22=O22,"MATCH","MISMATCH")</f>
        <v/>
      </c>
      <c r="Q22" s="16" t="n">
        <v>40</v>
      </c>
      <c r="R22" s="12">
        <f>IF(Q22&lt;0,"n/a",Q22*Summary!$B$11)</f>
        <v/>
      </c>
      <c r="S22" s="16">
        <f>IF(Q22&lt;0,"NEVER",IF(Q22&lt;=Summary!$B$12,"OK","OVER LIMIT"))</f>
        <v/>
      </c>
      <c r="T22" s="16">
        <f>IF(AND(M22="MATCH",P22="MATCH",S22="OK"),"PASS","FAIL")</f>
        <v/>
      </c>
    </row>
    <row r="23">
      <c r="A23" s="16" t="n">
        <v>1</v>
      </c>
      <c r="B23" s="5" t="inlineStr">
        <is>
          <t>2026-10-22 16:04:25</t>
        </is>
      </c>
      <c r="C23" s="5" t="inlineStr">
        <is>
          <t>input_vectors.hex</t>
        </is>
      </c>
      <c r="D23" s="16" t="n">
        <v>21</v>
      </c>
      <c r="E23" s="16" t="inlineStr">
        <is>
          <t>Mid-stream</t>
        </is>
      </c>
      <c r="F23" s="17" t="inlineStr">
        <is>
          <t>3B8FAA18</t>
        </is>
      </c>
      <c r="G23" s="17">
        <f>MID(F23,1,2)</f>
        <v/>
      </c>
      <c r="H23" s="17">
        <f>MID(F23,3,2)</f>
        <v/>
      </c>
      <c r="I23" s="17">
        <f>MID(F23,5,2)</f>
        <v/>
      </c>
      <c r="J23" s="17">
        <f>MID(F23,7,2)</f>
        <v/>
      </c>
      <c r="K23" s="17" t="inlineStr">
        <is>
          <t>3B8FAA18</t>
        </is>
      </c>
      <c r="L23" s="17" t="inlineStr">
        <is>
          <t>3B8FAA18</t>
        </is>
      </c>
      <c r="M23" s="16">
        <f>IF(K23=L23,"MATCH","MISMATCH")</f>
        <v/>
      </c>
      <c r="N23" s="18" t="inlineStr">
        <is>
          <t>00111011100011111010101000011000</t>
        </is>
      </c>
      <c r="O23" s="18" t="inlineStr">
        <is>
          <t>00111011100011111010101000011000</t>
        </is>
      </c>
      <c r="P23" s="16">
        <f>IF(N23=O23,"MATCH","MISMATCH")</f>
        <v/>
      </c>
      <c r="Q23" s="16" t="n">
        <v>40</v>
      </c>
      <c r="R23" s="12">
        <f>IF(Q23&lt;0,"n/a",Q23*Summary!$B$11)</f>
        <v/>
      </c>
      <c r="S23" s="16">
        <f>IF(Q23&lt;0,"NEVER",IF(Q23&lt;=Summary!$B$12,"OK","OVER LIMIT"))</f>
        <v/>
      </c>
      <c r="T23" s="16">
        <f>IF(AND(M23="MATCH",P23="MATCH",S23="OK"),"PASS","FAIL")</f>
        <v/>
      </c>
    </row>
    <row r="24">
      <c r="A24" s="16" t="n">
        <v>1</v>
      </c>
      <c r="B24" s="5" t="inlineStr">
        <is>
          <t>2026-10-22 16:04:25</t>
        </is>
      </c>
      <c r="C24" s="5" t="inlineStr">
        <is>
          <t>input_vectors.hex</t>
        </is>
      </c>
      <c r="D24" s="16" t="n">
        <v>22</v>
      </c>
      <c r="E24" s="16" t="inlineStr">
        <is>
          <t>Mid-stream</t>
        </is>
      </c>
      <c r="F24" s="17" t="inlineStr">
        <is>
          <t>815EF6D1</t>
        </is>
      </c>
      <c r="G24" s="17">
        <f>MID(F24,1,2)</f>
        <v/>
      </c>
      <c r="H24" s="17">
        <f>MID(F24,3,2)</f>
        <v/>
      </c>
      <c r="I24" s="17">
        <f>MID(F24,5,2)</f>
        <v/>
      </c>
      <c r="J24" s="17">
        <f>MID(F24,7,2)</f>
        <v/>
      </c>
      <c r="K24" s="17" t="inlineStr">
        <is>
          <t>815EF6D1</t>
        </is>
      </c>
      <c r="L24" s="17" t="inlineStr">
        <is>
          <t>815EF6D1</t>
        </is>
      </c>
      <c r="M24" s="16">
        <f>IF(K24=L24,"MATCH","MISMATCH")</f>
        <v/>
      </c>
      <c r="N24" s="18" t="inlineStr">
        <is>
          <t>10000001010111101111011011010001</t>
        </is>
      </c>
      <c r="O24" s="18" t="inlineStr">
        <is>
          <t>10000001010111101111011011010001</t>
        </is>
      </c>
      <c r="P24" s="16">
        <f>IF(N24=O24,"MATCH","MISMATCH")</f>
        <v/>
      </c>
      <c r="Q24" s="16" t="n">
        <v>40</v>
      </c>
      <c r="R24" s="12">
        <f>IF(Q24&lt;0,"n/a",Q24*Summary!$B$11)</f>
        <v/>
      </c>
      <c r="S24" s="16">
        <f>IF(Q24&lt;0,"NEVER",IF(Q24&lt;=Summary!$B$12,"OK","OVER LIMIT"))</f>
        <v/>
      </c>
      <c r="T24" s="16">
        <f>IF(AND(M24="MATCH",P24="MATCH",S24="OK"),"PASS","FAIL")</f>
        <v/>
      </c>
    </row>
    <row r="25">
      <c r="A25" s="16" t="n">
        <v>1</v>
      </c>
      <c r="B25" s="5" t="inlineStr">
        <is>
          <t>2026-10-22 16:04:25</t>
        </is>
      </c>
      <c r="C25" s="5" t="inlineStr">
        <is>
          <t>input_vectors.hex</t>
        </is>
      </c>
      <c r="D25" s="16" t="n">
        <v>23</v>
      </c>
      <c r="E25" s="16" t="inlineStr">
        <is>
          <t>Mid-stream</t>
        </is>
      </c>
      <c r="F25" s="17" t="inlineStr">
        <is>
          <t>9A1DE644</t>
        </is>
      </c>
      <c r="G25" s="17">
        <f>MID(F25,1,2)</f>
        <v/>
      </c>
      <c r="H25" s="17">
        <f>MID(F25,3,2)</f>
        <v/>
      </c>
      <c r="I25" s="17">
        <f>MID(F25,5,2)</f>
        <v/>
      </c>
      <c r="J25" s="17">
        <f>MID(F25,7,2)</f>
        <v/>
      </c>
      <c r="K25" s="17" t="inlineStr">
        <is>
          <t>9A1DE644</t>
        </is>
      </c>
      <c r="L25" s="17" t="inlineStr">
        <is>
          <t>9A1DE644</t>
        </is>
      </c>
      <c r="M25" s="16">
        <f>IF(K25=L25,"MATCH","MISMATCH")</f>
        <v/>
      </c>
      <c r="N25" s="18" t="inlineStr">
        <is>
          <t>10011010000111011110011001000100</t>
        </is>
      </c>
      <c r="O25" s="18" t="inlineStr">
        <is>
          <t>10011010000111011110011001000100</t>
        </is>
      </c>
      <c r="P25" s="16">
        <f>IF(N25=O25,"MATCH","MISMATCH")</f>
        <v/>
      </c>
      <c r="Q25" s="16" t="n">
        <v>40</v>
      </c>
      <c r="R25" s="12">
        <f>IF(Q25&lt;0,"n/a",Q25*Summary!$B$11)</f>
        <v/>
      </c>
      <c r="S25" s="16">
        <f>IF(Q25&lt;0,"NEVER",IF(Q25&lt;=Summary!$B$12,"OK","OVER LIMIT"))</f>
        <v/>
      </c>
      <c r="T25" s="16">
        <f>IF(AND(M25="MATCH",P25="MATCH",S25="OK"),"PASS","FAIL")</f>
        <v/>
      </c>
    </row>
    <row r="26">
      <c r="A26" s="16" t="n">
        <v>1</v>
      </c>
      <c r="B26" s="5" t="inlineStr">
        <is>
          <t>2026-10-22 16:04:25</t>
        </is>
      </c>
      <c r="C26" s="5" t="inlineStr">
        <is>
          <t>input_vectors.hex</t>
        </is>
      </c>
      <c r="D26" s="16" t="n">
        <v>24</v>
      </c>
      <c r="E26" s="16" t="inlineStr">
        <is>
          <t>Mid-stream</t>
        </is>
      </c>
      <c r="F26" s="17" t="inlineStr">
        <is>
          <t>06CB0FB3</t>
        </is>
      </c>
      <c r="G26" s="17">
        <f>MID(F26,1,2)</f>
        <v/>
      </c>
      <c r="H26" s="17">
        <f>MID(F26,3,2)</f>
        <v/>
      </c>
      <c r="I26" s="17">
        <f>MID(F26,5,2)</f>
        <v/>
      </c>
      <c r="J26" s="17">
        <f>MID(F26,7,2)</f>
        <v/>
      </c>
      <c r="K26" s="17" t="inlineStr">
        <is>
          <t>06CB0FB3</t>
        </is>
      </c>
      <c r="L26" s="17" t="inlineStr">
        <is>
          <t>06CB0FB3</t>
        </is>
      </c>
      <c r="M26" s="16">
        <f>IF(K26=L26,"MATCH","MISMATCH")</f>
        <v/>
      </c>
      <c r="N26" s="18" t="inlineStr">
        <is>
          <t>00000110110010110000111110110011</t>
        </is>
      </c>
      <c r="O26" s="18" t="inlineStr">
        <is>
          <t>00000110110010110000111110110011</t>
        </is>
      </c>
      <c r="P26" s="16">
        <f>IF(N26=O26,"MATCH","MISMATCH")</f>
        <v/>
      </c>
      <c r="Q26" s="16" t="n">
        <v>40</v>
      </c>
      <c r="R26" s="12">
        <f>IF(Q26&lt;0,"n/a",Q26*Summary!$B$11)</f>
        <v/>
      </c>
      <c r="S26" s="16">
        <f>IF(Q26&lt;0,"NEVER",IF(Q26&lt;=Summary!$B$12,"OK","OVER LIMIT"))</f>
        <v/>
      </c>
      <c r="T26" s="16">
        <f>IF(AND(M26="MATCH",P26="MATCH",S26="OK"),"PASS","FAIL")</f>
        <v/>
      </c>
    </row>
    <row r="27">
      <c r="A27" s="16" t="n">
        <v>1</v>
      </c>
      <c r="B27" s="5" t="inlineStr">
        <is>
          <t>2026-10-22 16:04:25</t>
        </is>
      </c>
      <c r="C27" s="5" t="inlineStr">
        <is>
          <t>input_vectors.hex</t>
        </is>
      </c>
      <c r="D27" s="16" t="n">
        <v>25</v>
      </c>
      <c r="E27" s="16" t="inlineStr">
        <is>
          <t>Mid-stream</t>
        </is>
      </c>
      <c r="F27" s="17" t="inlineStr">
        <is>
          <t>8FADC1A6</t>
        </is>
      </c>
      <c r="G27" s="17">
        <f>MID(F27,1,2)</f>
        <v/>
      </c>
      <c r="H27" s="17">
        <f>MID(F27,3,2)</f>
        <v/>
      </c>
      <c r="I27" s="17">
        <f>MID(F27,5,2)</f>
        <v/>
      </c>
      <c r="J27" s="17">
        <f>MID(F27,7,2)</f>
        <v/>
      </c>
      <c r="K27" s="17" t="inlineStr">
        <is>
          <t>8FADC1A6</t>
        </is>
      </c>
      <c r="L27" s="17" t="inlineStr">
        <is>
          <t>8FADC1A6</t>
        </is>
      </c>
      <c r="M27" s="16">
        <f>IF(K27=L27,"MATCH","MISMATCH")</f>
        <v/>
      </c>
      <c r="N27" s="18" t="inlineStr">
        <is>
          <t>10001111101011011100000110100110</t>
        </is>
      </c>
      <c r="O27" s="18" t="inlineStr">
        <is>
          <t>10001111101011011100000110100110</t>
        </is>
      </c>
      <c r="P27" s="16">
        <f>IF(N27=O27,"MATCH","MISMATCH")</f>
        <v/>
      </c>
      <c r="Q27" s="16" t="n">
        <v>40</v>
      </c>
      <c r="R27" s="12">
        <f>IF(Q27&lt;0,"n/a",Q27*Summary!$B$11)</f>
        <v/>
      </c>
      <c r="S27" s="16">
        <f>IF(Q27&lt;0,"NEVER",IF(Q27&lt;=Summary!$B$12,"OK","OVER LIMIT"))</f>
        <v/>
      </c>
      <c r="T27" s="16">
        <f>IF(AND(M27="MATCH",P27="MATCH",S27="OK"),"PASS","FAIL")</f>
        <v/>
      </c>
    </row>
    <row r="28">
      <c r="A28" s="16" t="n">
        <v>1</v>
      </c>
      <c r="B28" s="5" t="inlineStr">
        <is>
          <t>2026-10-22 16:04:25</t>
        </is>
      </c>
      <c r="C28" s="5" t="inlineStr">
        <is>
          <t>input_vectors.hex</t>
        </is>
      </c>
      <c r="D28" s="16" t="n">
        <v>26</v>
      </c>
      <c r="E28" s="16" t="inlineStr">
        <is>
          <t>Mid-stream</t>
        </is>
      </c>
      <c r="F28" s="17" t="inlineStr">
        <is>
          <t>32E70629</t>
        </is>
      </c>
      <c r="G28" s="17">
        <f>MID(F28,1,2)</f>
        <v/>
      </c>
      <c r="H28" s="17">
        <f>MID(F28,3,2)</f>
        <v/>
      </c>
      <c r="I28" s="17">
        <f>MID(F28,5,2)</f>
        <v/>
      </c>
      <c r="J28" s="17">
        <f>MID(F28,7,2)</f>
        <v/>
      </c>
      <c r="K28" s="17" t="inlineStr">
        <is>
          <t>32E70629</t>
        </is>
      </c>
      <c r="L28" s="17" t="inlineStr">
        <is>
          <t>32E70629</t>
        </is>
      </c>
      <c r="M28" s="16">
        <f>IF(K28=L28,"MATCH","MISMATCH")</f>
        <v/>
      </c>
      <c r="N28" s="18" t="inlineStr">
        <is>
          <t>00110010111001110000011000101001</t>
        </is>
      </c>
      <c r="O28" s="18" t="inlineStr">
        <is>
          <t>00110010111001110000011000101001</t>
        </is>
      </c>
      <c r="P28" s="16">
        <f>IF(N28=O28,"MATCH","MISMATCH")</f>
        <v/>
      </c>
      <c r="Q28" s="16" t="n">
        <v>40</v>
      </c>
      <c r="R28" s="12">
        <f>IF(Q28&lt;0,"n/a",Q28*Summary!$B$11)</f>
        <v/>
      </c>
      <c r="S28" s="16">
        <f>IF(Q28&lt;0,"NEVER",IF(Q28&lt;=Summary!$B$12,"OK","OVER LIMIT"))</f>
        <v/>
      </c>
      <c r="T28" s="16">
        <f>IF(AND(M28="MATCH",P28="MATCH",S28="OK"),"PASS","FAIL")</f>
        <v/>
      </c>
    </row>
    <row r="29">
      <c r="A29" s="16" t="n">
        <v>1</v>
      </c>
      <c r="B29" s="5" t="inlineStr">
        <is>
          <t>2026-10-22 16:04:25</t>
        </is>
      </c>
      <c r="C29" s="5" t="inlineStr">
        <is>
          <t>input_vectors.hex</t>
        </is>
      </c>
      <c r="D29" s="16" t="n">
        <v>27</v>
      </c>
      <c r="E29" s="16" t="inlineStr">
        <is>
          <t>Mid-stream</t>
        </is>
      </c>
      <c r="F29" s="17" t="inlineStr">
        <is>
          <t>B74D0FB1</t>
        </is>
      </c>
      <c r="G29" s="17">
        <f>MID(F29,1,2)</f>
        <v/>
      </c>
      <c r="H29" s="17">
        <f>MID(F29,3,2)</f>
        <v/>
      </c>
      <c r="I29" s="17">
        <f>MID(F29,5,2)</f>
        <v/>
      </c>
      <c r="J29" s="17">
        <f>MID(F29,7,2)</f>
        <v/>
      </c>
      <c r="K29" s="17" t="inlineStr">
        <is>
          <t>B74D0FB1</t>
        </is>
      </c>
      <c r="L29" s="17" t="inlineStr">
        <is>
          <t>B74D0FB1</t>
        </is>
      </c>
      <c r="M29" s="16">
        <f>IF(K29=L29,"MATCH","MISMATCH")</f>
        <v/>
      </c>
      <c r="N29" s="18" t="inlineStr">
        <is>
          <t>10110111010011010000111110110001</t>
        </is>
      </c>
      <c r="O29" s="18" t="inlineStr">
        <is>
          <t>10110111010011010000111110110001</t>
        </is>
      </c>
      <c r="P29" s="16">
        <f>IF(N29=O29,"MATCH","MISMATCH")</f>
        <v/>
      </c>
      <c r="Q29" s="16" t="n">
        <v>40</v>
      </c>
      <c r="R29" s="12">
        <f>IF(Q29&lt;0,"n/a",Q29*Summary!$B$11)</f>
        <v/>
      </c>
      <c r="S29" s="16">
        <f>IF(Q29&lt;0,"NEVER",IF(Q29&lt;=Summary!$B$12,"OK","OVER LIMIT"))</f>
        <v/>
      </c>
      <c r="T29" s="16">
        <f>IF(AND(M29="MATCH",P29="MATCH",S29="OK"),"PASS","FAIL")</f>
        <v/>
      </c>
    </row>
    <row r="30">
      <c r="A30" s="16" t="n">
        <v>1</v>
      </c>
      <c r="B30" s="5" t="inlineStr">
        <is>
          <t>2026-10-22 16:04:25</t>
        </is>
      </c>
      <c r="C30" s="5" t="inlineStr">
        <is>
          <t>input_vectors.hex</t>
        </is>
      </c>
      <c r="D30" s="16" t="n">
        <v>28</v>
      </c>
      <c r="E30" s="16" t="inlineStr">
        <is>
          <t>Mid-stream</t>
        </is>
      </c>
      <c r="F30" s="17" t="inlineStr">
        <is>
          <t>A65ED389</t>
        </is>
      </c>
      <c r="G30" s="17">
        <f>MID(F30,1,2)</f>
        <v/>
      </c>
      <c r="H30" s="17">
        <f>MID(F30,3,2)</f>
        <v/>
      </c>
      <c r="I30" s="17">
        <f>MID(F30,5,2)</f>
        <v/>
      </c>
      <c r="J30" s="17">
        <f>MID(F30,7,2)</f>
        <v/>
      </c>
      <c r="K30" s="17" t="inlineStr">
        <is>
          <t>A65ED389</t>
        </is>
      </c>
      <c r="L30" s="17" t="inlineStr">
        <is>
          <t>A65ED389</t>
        </is>
      </c>
      <c r="M30" s="16">
        <f>IF(K30=L30,"MATCH","MISMATCH")</f>
        <v/>
      </c>
      <c r="N30" s="18" t="inlineStr">
        <is>
          <t>10100110010111101101001110001001</t>
        </is>
      </c>
      <c r="O30" s="18" t="inlineStr">
        <is>
          <t>10100110010111101101001110001001</t>
        </is>
      </c>
      <c r="P30" s="16">
        <f>IF(N30=O30,"MATCH","MISMATCH")</f>
        <v/>
      </c>
      <c r="Q30" s="16" t="n">
        <v>40</v>
      </c>
      <c r="R30" s="12">
        <f>IF(Q30&lt;0,"n/a",Q30*Summary!$B$11)</f>
        <v/>
      </c>
      <c r="S30" s="16">
        <f>IF(Q30&lt;0,"NEVER",IF(Q30&lt;=Summary!$B$12,"OK","OVER LIMIT"))</f>
        <v/>
      </c>
      <c r="T30" s="16">
        <f>IF(AND(M30="MATCH",P30="MATCH",S30="OK"),"PASS","FAIL")</f>
        <v/>
      </c>
    </row>
    <row r="31">
      <c r="A31" s="16" t="n">
        <v>1</v>
      </c>
      <c r="B31" s="5" t="inlineStr">
        <is>
          <t>2026-10-22 16:04:25</t>
        </is>
      </c>
      <c r="C31" s="5" t="inlineStr">
        <is>
          <t>input_vectors.hex</t>
        </is>
      </c>
      <c r="D31" s="16" t="n">
        <v>29</v>
      </c>
      <c r="E31" s="16" t="inlineStr">
        <is>
          <t>Mid-stream</t>
        </is>
      </c>
      <c r="F31" s="17" t="inlineStr">
        <is>
          <t>B38A088C</t>
        </is>
      </c>
      <c r="G31" s="17">
        <f>MID(F31,1,2)</f>
        <v/>
      </c>
      <c r="H31" s="17">
        <f>MID(F31,3,2)</f>
        <v/>
      </c>
      <c r="I31" s="17">
        <f>MID(F31,5,2)</f>
        <v/>
      </c>
      <c r="J31" s="17">
        <f>MID(F31,7,2)</f>
        <v/>
      </c>
      <c r="K31" s="17" t="inlineStr">
        <is>
          <t>B38A088C</t>
        </is>
      </c>
      <c r="L31" s="17" t="inlineStr">
        <is>
          <t>B38A088C</t>
        </is>
      </c>
      <c r="M31" s="16">
        <f>IF(K31=L31,"MATCH","MISMATCH")</f>
        <v/>
      </c>
      <c r="N31" s="18" t="inlineStr">
        <is>
          <t>10110011100010100000100010001100</t>
        </is>
      </c>
      <c r="O31" s="18" t="inlineStr">
        <is>
          <t>10110011100010100000100010001100</t>
        </is>
      </c>
      <c r="P31" s="16">
        <f>IF(N31=O31,"MATCH","MISMATCH")</f>
        <v/>
      </c>
      <c r="Q31" s="16" t="n">
        <v>40</v>
      </c>
      <c r="R31" s="12">
        <f>IF(Q31&lt;0,"n/a",Q31*Summary!$B$11)</f>
        <v/>
      </c>
      <c r="S31" s="16">
        <f>IF(Q31&lt;0,"NEVER",IF(Q31&lt;=Summary!$B$12,"OK","OVER LIMIT"))</f>
        <v/>
      </c>
      <c r="T31" s="16">
        <f>IF(AND(M31="MATCH",P31="MATCH",S31="OK"),"PASS","FAIL")</f>
        <v/>
      </c>
    </row>
    <row r="32">
      <c r="A32" s="16" t="n">
        <v>1</v>
      </c>
      <c r="B32" s="5" t="inlineStr">
        <is>
          <t>2026-10-22 16:04:25</t>
        </is>
      </c>
      <c r="C32" s="5" t="inlineStr">
        <is>
          <t>input_vectors.hex</t>
        </is>
      </c>
      <c r="D32" s="16" t="n">
        <v>30</v>
      </c>
      <c r="E32" s="16" t="inlineStr">
        <is>
          <t>Mid-stream</t>
        </is>
      </c>
      <c r="F32" s="17" t="inlineStr">
        <is>
          <t>8B8148F6</t>
        </is>
      </c>
      <c r="G32" s="17">
        <f>MID(F32,1,2)</f>
        <v/>
      </c>
      <c r="H32" s="17">
        <f>MID(F32,3,2)</f>
        <v/>
      </c>
      <c r="I32" s="17">
        <f>MID(F32,5,2)</f>
        <v/>
      </c>
      <c r="J32" s="17">
        <f>MID(F32,7,2)</f>
        <v/>
      </c>
      <c r="K32" s="17" t="inlineStr">
        <is>
          <t>8B8148F6</t>
        </is>
      </c>
      <c r="L32" s="17" t="inlineStr">
        <is>
          <t>8B8148F6</t>
        </is>
      </c>
      <c r="M32" s="16">
        <f>IF(K32=L32,"MATCH","MISMATCH")</f>
        <v/>
      </c>
      <c r="N32" s="18" t="inlineStr">
        <is>
          <t>10001011100000010100100011110110</t>
        </is>
      </c>
      <c r="O32" s="18" t="inlineStr">
        <is>
          <t>10001011100000010100100011110110</t>
        </is>
      </c>
      <c r="P32" s="16">
        <f>IF(N32=O32,"MATCH","MISMATCH")</f>
        <v/>
      </c>
      <c r="Q32" s="16" t="n">
        <v>40</v>
      </c>
      <c r="R32" s="12">
        <f>IF(Q32&lt;0,"n/a",Q32*Summary!$B$11)</f>
        <v/>
      </c>
      <c r="S32" s="16">
        <f>IF(Q32&lt;0,"NEVER",IF(Q32&lt;=Summary!$B$12,"OK","OVER LIMIT"))</f>
        <v/>
      </c>
      <c r="T32" s="16">
        <f>IF(AND(M32="MATCH",P32="MATCH",S32="OK"),"PASS","FAIL")</f>
        <v/>
      </c>
    </row>
    <row r="33">
      <c r="A33" s="16" t="n">
        <v>1</v>
      </c>
      <c r="B33" s="5" t="inlineStr">
        <is>
          <t>2026-10-22 16:04:25</t>
        </is>
      </c>
      <c r="C33" s="5" t="inlineStr">
        <is>
          <t>input_vectors.hex</t>
        </is>
      </c>
      <c r="D33" s="16" t="n">
        <v>31</v>
      </c>
      <c r="E33" s="16" t="inlineStr">
        <is>
          <t>Mid-stream</t>
        </is>
      </c>
      <c r="F33" s="17" t="inlineStr">
        <is>
          <t>6B65A6A4</t>
        </is>
      </c>
      <c r="G33" s="17">
        <f>MID(F33,1,2)</f>
        <v/>
      </c>
      <c r="H33" s="17">
        <f>MID(F33,3,2)</f>
        <v/>
      </c>
      <c r="I33" s="17">
        <f>MID(F33,5,2)</f>
        <v/>
      </c>
      <c r="J33" s="17">
        <f>MID(F33,7,2)</f>
        <v/>
      </c>
      <c r="K33" s="17" t="inlineStr">
        <is>
          <t>6B65A6A4</t>
        </is>
      </c>
      <c r="L33" s="17" t="inlineStr">
        <is>
          <t>6B65A6A4</t>
        </is>
      </c>
      <c r="M33" s="16">
        <f>IF(K33=L33,"MATCH","MISMATCH")</f>
        <v/>
      </c>
      <c r="N33" s="18" t="inlineStr">
        <is>
          <t>01101011011001011010011010100100</t>
        </is>
      </c>
      <c r="O33" s="18" t="inlineStr">
        <is>
          <t>01101011011001011010011010100100</t>
        </is>
      </c>
      <c r="P33" s="16">
        <f>IF(N33=O33,"MATCH","MISMATCH")</f>
        <v/>
      </c>
      <c r="Q33" s="16" t="n">
        <v>40</v>
      </c>
      <c r="R33" s="12">
        <f>IF(Q33&lt;0,"n/a",Q33*Summary!$B$11)</f>
        <v/>
      </c>
      <c r="S33" s="16">
        <f>IF(Q33&lt;0,"NEVER",IF(Q33&lt;=Summary!$B$12,"OK","OVER LIMIT"))</f>
        <v/>
      </c>
      <c r="T33" s="16">
        <f>IF(AND(M33="MATCH",P33="MATCH",S33="OK"),"PASS","FAIL")</f>
        <v/>
      </c>
    </row>
    <row r="34">
      <c r="A34" s="16" t="n">
        <v>1</v>
      </c>
      <c r="B34" s="5" t="inlineStr">
        <is>
          <t>2026-10-22 16:04:25</t>
        </is>
      </c>
      <c r="C34" s="5" t="inlineStr">
        <is>
          <t>input_vectors.hex</t>
        </is>
      </c>
      <c r="D34" s="16" t="n">
        <v>32</v>
      </c>
      <c r="E34" s="16" t="inlineStr">
        <is>
          <t>Mid-stream</t>
        </is>
      </c>
      <c r="F34" s="17" t="inlineStr">
        <is>
          <t>386ECBE0</t>
        </is>
      </c>
      <c r="G34" s="17">
        <f>MID(F34,1,2)</f>
        <v/>
      </c>
      <c r="H34" s="17">
        <f>MID(F34,3,2)</f>
        <v/>
      </c>
      <c r="I34" s="17">
        <f>MID(F34,5,2)</f>
        <v/>
      </c>
      <c r="J34" s="17">
        <f>MID(F34,7,2)</f>
        <v/>
      </c>
      <c r="K34" s="17" t="inlineStr">
        <is>
          <t>386ECBE0</t>
        </is>
      </c>
      <c r="L34" s="17" t="inlineStr">
        <is>
          <t>386ECBE0</t>
        </is>
      </c>
      <c r="M34" s="16">
        <f>IF(K34=L34,"MATCH","MISMATCH")</f>
        <v/>
      </c>
      <c r="N34" s="18" t="inlineStr">
        <is>
          <t>00111000011011101100101111100000</t>
        </is>
      </c>
      <c r="O34" s="18" t="inlineStr">
        <is>
          <t>00111000011011101100101111100000</t>
        </is>
      </c>
      <c r="P34" s="16">
        <f>IF(N34=O34,"MATCH","MISMATCH")</f>
        <v/>
      </c>
      <c r="Q34" s="16" t="n">
        <v>40</v>
      </c>
      <c r="R34" s="12">
        <f>IF(Q34&lt;0,"n/a",Q34*Summary!$B$11)</f>
        <v/>
      </c>
      <c r="S34" s="16">
        <f>IF(Q34&lt;0,"NEVER",IF(Q34&lt;=Summary!$B$12,"OK","OVER LIMIT"))</f>
        <v/>
      </c>
      <c r="T34" s="16">
        <f>IF(AND(M34="MATCH",P34="MATCH",S34="OK"),"PASS","FAIL")</f>
        <v/>
      </c>
    </row>
    <row r="35">
      <c r="A35" s="16" t="n">
        <v>1</v>
      </c>
      <c r="B35" s="5" t="inlineStr">
        <is>
          <t>2026-10-22 16:04:25</t>
        </is>
      </c>
      <c r="C35" s="5" t="inlineStr">
        <is>
          <t>input_vectors.hex</t>
        </is>
      </c>
      <c r="D35" s="16" t="n">
        <v>33</v>
      </c>
      <c r="E35" s="16" t="inlineStr">
        <is>
          <t>Mid-stream</t>
        </is>
      </c>
      <c r="F35" s="17" t="inlineStr">
        <is>
          <t>72FF5D2A</t>
        </is>
      </c>
      <c r="G35" s="17">
        <f>MID(F35,1,2)</f>
        <v/>
      </c>
      <c r="H35" s="17">
        <f>MID(F35,3,2)</f>
        <v/>
      </c>
      <c r="I35" s="17">
        <f>MID(F35,5,2)</f>
        <v/>
      </c>
      <c r="J35" s="17">
        <f>MID(F35,7,2)</f>
        <v/>
      </c>
      <c r="K35" s="17" t="inlineStr">
        <is>
          <t>72FF5D2A</t>
        </is>
      </c>
      <c r="L35" s="17" t="inlineStr">
        <is>
          <t>72FF5D2A</t>
        </is>
      </c>
      <c r="M35" s="16">
        <f>IF(K35=L35,"MATCH","MISMATCH")</f>
        <v/>
      </c>
      <c r="N35" s="18" t="inlineStr">
        <is>
          <t>01110010111111110101110100101010</t>
        </is>
      </c>
      <c r="O35" s="18" t="inlineStr">
        <is>
          <t>01110010111111110101110100101010</t>
        </is>
      </c>
      <c r="P35" s="16">
        <f>IF(N35=O35,"MATCH","MISMATCH")</f>
        <v/>
      </c>
      <c r="Q35" s="16" t="n">
        <v>40</v>
      </c>
      <c r="R35" s="12">
        <f>IF(Q35&lt;0,"n/a",Q35*Summary!$B$11)</f>
        <v/>
      </c>
      <c r="S35" s="16">
        <f>IF(Q35&lt;0,"NEVER",IF(Q35&lt;=Summary!$B$12,"OK","OVER LIMIT"))</f>
        <v/>
      </c>
      <c r="T35" s="16">
        <f>IF(AND(M35="MATCH",P35="MATCH",S35="OK"),"PASS","FAIL")</f>
        <v/>
      </c>
    </row>
    <row r="36">
      <c r="A36" s="16" t="n">
        <v>1</v>
      </c>
      <c r="B36" s="5" t="inlineStr">
        <is>
          <t>2026-10-22 16:04:25</t>
        </is>
      </c>
      <c r="C36" s="5" t="inlineStr">
        <is>
          <t>input_vectors.hex</t>
        </is>
      </c>
      <c r="D36" s="16" t="n">
        <v>34</v>
      </c>
      <c r="E36" s="16" t="inlineStr">
        <is>
          <t>Mid-stream</t>
        </is>
      </c>
      <c r="F36" s="17" t="inlineStr">
        <is>
          <t>96DA1DAC</t>
        </is>
      </c>
      <c r="G36" s="17">
        <f>MID(F36,1,2)</f>
        <v/>
      </c>
      <c r="H36" s="17">
        <f>MID(F36,3,2)</f>
        <v/>
      </c>
      <c r="I36" s="17">
        <f>MID(F36,5,2)</f>
        <v/>
      </c>
      <c r="J36" s="17">
        <f>MID(F36,7,2)</f>
        <v/>
      </c>
      <c r="K36" s="17" t="inlineStr">
        <is>
          <t>96DA1DAC</t>
        </is>
      </c>
      <c r="L36" s="17" t="inlineStr">
        <is>
          <t>96DA1DAC</t>
        </is>
      </c>
      <c r="M36" s="16">
        <f>IF(K36=L36,"MATCH","MISMATCH")</f>
        <v/>
      </c>
      <c r="N36" s="18" t="inlineStr">
        <is>
          <t>10010110110110100001110110101100</t>
        </is>
      </c>
      <c r="O36" s="18" t="inlineStr">
        <is>
          <t>10010110110110100001110110101100</t>
        </is>
      </c>
      <c r="P36" s="16">
        <f>IF(N36=O36,"MATCH","MISMATCH")</f>
        <v/>
      </c>
      <c r="Q36" s="16" t="n">
        <v>40</v>
      </c>
      <c r="R36" s="12">
        <f>IF(Q36&lt;0,"n/a",Q36*Summary!$B$11)</f>
        <v/>
      </c>
      <c r="S36" s="16">
        <f>IF(Q36&lt;0,"NEVER",IF(Q36&lt;=Summary!$B$12,"OK","OVER LIMIT"))</f>
        <v/>
      </c>
      <c r="T36" s="16">
        <f>IF(AND(M36="MATCH",P36="MATCH",S36="OK"),"PASS","FAIL")</f>
        <v/>
      </c>
    </row>
    <row r="37">
      <c r="A37" s="16" t="n">
        <v>1</v>
      </c>
      <c r="B37" s="5" t="inlineStr">
        <is>
          <t>2026-10-22 16:04:25</t>
        </is>
      </c>
      <c r="C37" s="5" t="inlineStr">
        <is>
          <t>input_vectors.hex</t>
        </is>
      </c>
      <c r="D37" s="16" t="n">
        <v>35</v>
      </c>
      <c r="E37" s="16" t="inlineStr">
        <is>
          <t>Mid-stream</t>
        </is>
      </c>
      <c r="F37" s="17" t="inlineStr">
        <is>
          <t>47378190</t>
        </is>
      </c>
      <c r="G37" s="17">
        <f>MID(F37,1,2)</f>
        <v/>
      </c>
      <c r="H37" s="17">
        <f>MID(F37,3,2)</f>
        <v/>
      </c>
      <c r="I37" s="17">
        <f>MID(F37,5,2)</f>
        <v/>
      </c>
      <c r="J37" s="17">
        <f>MID(F37,7,2)</f>
        <v/>
      </c>
      <c r="K37" s="17" t="inlineStr">
        <is>
          <t>47378190</t>
        </is>
      </c>
      <c r="L37" s="17" t="inlineStr">
        <is>
          <t>47378190</t>
        </is>
      </c>
      <c r="M37" s="16">
        <f>IF(K37=L37,"MATCH","MISMATCH")</f>
        <v/>
      </c>
      <c r="N37" s="18" t="inlineStr">
        <is>
          <t>01000111001101111000000110010000</t>
        </is>
      </c>
      <c r="O37" s="18" t="inlineStr">
        <is>
          <t>01000111001101111000000110010000</t>
        </is>
      </c>
      <c r="P37" s="16">
        <f>IF(N37=O37,"MATCH","MISMATCH")</f>
        <v/>
      </c>
      <c r="Q37" s="16" t="n">
        <v>40</v>
      </c>
      <c r="R37" s="12">
        <f>IF(Q37&lt;0,"n/a",Q37*Summary!$B$11)</f>
        <v/>
      </c>
      <c r="S37" s="16">
        <f>IF(Q37&lt;0,"NEVER",IF(Q37&lt;=Summary!$B$12,"OK","OVER LIMIT"))</f>
        <v/>
      </c>
      <c r="T37" s="16">
        <f>IF(AND(M37="MATCH",P37="MATCH",S37="OK"),"PASS","FAIL")</f>
        <v/>
      </c>
    </row>
    <row r="38">
      <c r="A38" s="16" t="n">
        <v>1</v>
      </c>
      <c r="B38" s="5" t="inlineStr">
        <is>
          <t>2026-10-22 16:04:25</t>
        </is>
      </c>
      <c r="C38" s="5" t="inlineStr">
        <is>
          <t>input_vectors.hex</t>
        </is>
      </c>
      <c r="D38" s="16" t="n">
        <v>36</v>
      </c>
      <c r="E38" s="16" t="inlineStr">
        <is>
          <t>Mid-stream</t>
        </is>
      </c>
      <c r="F38" s="17" t="inlineStr">
        <is>
          <t>CF36D58B</t>
        </is>
      </c>
      <c r="G38" s="17">
        <f>MID(F38,1,2)</f>
        <v/>
      </c>
      <c r="H38" s="17">
        <f>MID(F38,3,2)</f>
        <v/>
      </c>
      <c r="I38" s="17">
        <f>MID(F38,5,2)</f>
        <v/>
      </c>
      <c r="J38" s="17">
        <f>MID(F38,7,2)</f>
        <v/>
      </c>
      <c r="K38" s="17" t="inlineStr">
        <is>
          <t>CF36D58B</t>
        </is>
      </c>
      <c r="L38" s="17" t="inlineStr">
        <is>
          <t>CF36D58B</t>
        </is>
      </c>
      <c r="M38" s="16">
        <f>IF(K38=L38,"MATCH","MISMATCH")</f>
        <v/>
      </c>
      <c r="N38" s="18" t="inlineStr">
        <is>
          <t>11001111001101101101010110001011</t>
        </is>
      </c>
      <c r="O38" s="18" t="inlineStr">
        <is>
          <t>11001111001101101101010110001011</t>
        </is>
      </c>
      <c r="P38" s="16">
        <f>IF(N38=O38,"MATCH","MISMATCH")</f>
        <v/>
      </c>
      <c r="Q38" s="16" t="n">
        <v>40</v>
      </c>
      <c r="R38" s="12">
        <f>IF(Q38&lt;0,"n/a",Q38*Summary!$B$11)</f>
        <v/>
      </c>
      <c r="S38" s="16">
        <f>IF(Q38&lt;0,"NEVER",IF(Q38&lt;=Summary!$B$12,"OK","OVER LIMIT"))</f>
        <v/>
      </c>
      <c r="T38" s="16">
        <f>IF(AND(M38="MATCH",P38="MATCH",S38="OK"),"PASS","FAIL")</f>
        <v/>
      </c>
    </row>
    <row r="39">
      <c r="A39" s="16" t="n">
        <v>1</v>
      </c>
      <c r="B39" s="5" t="inlineStr">
        <is>
          <t>2026-10-22 16:04:25</t>
        </is>
      </c>
      <c r="C39" s="5" t="inlineStr">
        <is>
          <t>input_vectors.hex</t>
        </is>
      </c>
      <c r="D39" s="16" t="n">
        <v>37</v>
      </c>
      <c r="E39" s="16" t="inlineStr">
        <is>
          <t>Mid-stream</t>
        </is>
      </c>
      <c r="F39" s="17" t="inlineStr">
        <is>
          <t>DE8A774B</t>
        </is>
      </c>
      <c r="G39" s="17">
        <f>MID(F39,1,2)</f>
        <v/>
      </c>
      <c r="H39" s="17">
        <f>MID(F39,3,2)</f>
        <v/>
      </c>
      <c r="I39" s="17">
        <f>MID(F39,5,2)</f>
        <v/>
      </c>
      <c r="J39" s="17">
        <f>MID(F39,7,2)</f>
        <v/>
      </c>
      <c r="K39" s="17" t="inlineStr">
        <is>
          <t>DE8A774B</t>
        </is>
      </c>
      <c r="L39" s="17" t="inlineStr">
        <is>
          <t>DE8A774B</t>
        </is>
      </c>
      <c r="M39" s="16">
        <f>IF(K39=L39,"MATCH","MISMATCH")</f>
        <v/>
      </c>
      <c r="N39" s="18" t="inlineStr">
        <is>
          <t>11011110100010100111011101001011</t>
        </is>
      </c>
      <c r="O39" s="18" t="inlineStr">
        <is>
          <t>11011110100010100111011101001011</t>
        </is>
      </c>
      <c r="P39" s="16">
        <f>IF(N39=O39,"MATCH","MISMATCH")</f>
        <v/>
      </c>
      <c r="Q39" s="16" t="n">
        <v>40</v>
      </c>
      <c r="R39" s="12">
        <f>IF(Q39&lt;0,"n/a",Q39*Summary!$B$11)</f>
        <v/>
      </c>
      <c r="S39" s="16">
        <f>IF(Q39&lt;0,"NEVER",IF(Q39&lt;=Summary!$B$12,"OK","OVER LIMIT"))</f>
        <v/>
      </c>
      <c r="T39" s="16">
        <f>IF(AND(M39="MATCH",P39="MATCH",S39="OK"),"PASS","FAIL")</f>
        <v/>
      </c>
    </row>
    <row r="40">
      <c r="A40" s="16" t="n">
        <v>1</v>
      </c>
      <c r="B40" s="5" t="inlineStr">
        <is>
          <t>2026-10-22 16:04:25</t>
        </is>
      </c>
      <c r="C40" s="5" t="inlineStr">
        <is>
          <t>input_vectors.hex</t>
        </is>
      </c>
      <c r="D40" s="16" t="n">
        <v>38</v>
      </c>
      <c r="E40" s="16" t="inlineStr">
        <is>
          <t>Mid-stream</t>
        </is>
      </c>
      <c r="F40" s="17" t="inlineStr">
        <is>
          <t>01A9E71F</t>
        </is>
      </c>
      <c r="G40" s="17">
        <f>MID(F40,1,2)</f>
        <v/>
      </c>
      <c r="H40" s="17">
        <f>MID(F40,3,2)</f>
        <v/>
      </c>
      <c r="I40" s="17">
        <f>MID(F40,5,2)</f>
        <v/>
      </c>
      <c r="J40" s="17">
        <f>MID(F40,7,2)</f>
        <v/>
      </c>
      <c r="K40" s="17" t="inlineStr">
        <is>
          <t>01A9E71F</t>
        </is>
      </c>
      <c r="L40" s="17" t="inlineStr">
        <is>
          <t>01A9E71F</t>
        </is>
      </c>
      <c r="M40" s="16">
        <f>IF(K40=L40,"MATCH","MISMATCH")</f>
        <v/>
      </c>
      <c r="N40" s="18" t="inlineStr">
        <is>
          <t>00000001101010011110011100011111</t>
        </is>
      </c>
      <c r="O40" s="18" t="inlineStr">
        <is>
          <t>00000001101010011110011100011111</t>
        </is>
      </c>
      <c r="P40" s="16">
        <f>IF(N40=O40,"MATCH","MISMATCH")</f>
        <v/>
      </c>
      <c r="Q40" s="16" t="n">
        <v>40</v>
      </c>
      <c r="R40" s="12">
        <f>IF(Q40&lt;0,"n/a",Q40*Summary!$B$11)</f>
        <v/>
      </c>
      <c r="S40" s="16">
        <f>IF(Q40&lt;0,"NEVER",IF(Q40&lt;=Summary!$B$12,"OK","OVER LIMIT"))</f>
        <v/>
      </c>
      <c r="T40" s="16">
        <f>IF(AND(M40="MATCH",P40="MATCH",S40="OK"),"PASS","FAIL")</f>
        <v/>
      </c>
    </row>
    <row r="41">
      <c r="A41" s="16" t="n">
        <v>1</v>
      </c>
      <c r="B41" s="5" t="inlineStr">
        <is>
          <t>2026-10-22 16:04:25</t>
        </is>
      </c>
      <c r="C41" s="5" t="inlineStr">
        <is>
          <t>input_vectors.hex</t>
        </is>
      </c>
      <c r="D41" s="16" t="n">
        <v>39</v>
      </c>
      <c r="E41" s="16" t="inlineStr">
        <is>
          <t>Mid-stream</t>
        </is>
      </c>
      <c r="F41" s="17" t="inlineStr">
        <is>
          <t>C241330B</t>
        </is>
      </c>
      <c r="G41" s="17">
        <f>MID(F41,1,2)</f>
        <v/>
      </c>
      <c r="H41" s="17">
        <f>MID(F41,3,2)</f>
        <v/>
      </c>
      <c r="I41" s="17">
        <f>MID(F41,5,2)</f>
        <v/>
      </c>
      <c r="J41" s="17">
        <f>MID(F41,7,2)</f>
        <v/>
      </c>
      <c r="K41" s="17" t="inlineStr">
        <is>
          <t>C241330B</t>
        </is>
      </c>
      <c r="L41" s="17" t="inlineStr">
        <is>
          <t>C241330B</t>
        </is>
      </c>
      <c r="M41" s="16">
        <f>IF(K41=L41,"MATCH","MISMATCH")</f>
        <v/>
      </c>
      <c r="N41" s="18" t="inlineStr">
        <is>
          <t>11000010010000010011001100001011</t>
        </is>
      </c>
      <c r="O41" s="18" t="inlineStr">
        <is>
          <t>11000010010000010011001100001011</t>
        </is>
      </c>
      <c r="P41" s="16">
        <f>IF(N41=O41,"MATCH","MISMATCH")</f>
        <v/>
      </c>
      <c r="Q41" s="16" t="n">
        <v>40</v>
      </c>
      <c r="R41" s="12">
        <f>IF(Q41&lt;0,"n/a",Q41*Summary!$B$11)</f>
        <v/>
      </c>
      <c r="S41" s="16">
        <f>IF(Q41&lt;0,"NEVER",IF(Q41&lt;=Summary!$B$12,"OK","OVER LIMIT"))</f>
        <v/>
      </c>
      <c r="T41" s="16">
        <f>IF(AND(M41="MATCH",P41="MATCH",S41="OK"),"PASS","FAIL")</f>
        <v/>
      </c>
    </row>
    <row r="42">
      <c r="A42" s="16" t="n">
        <v>1</v>
      </c>
      <c r="B42" s="5" t="inlineStr">
        <is>
          <t>2026-10-22 16:04:25</t>
        </is>
      </c>
      <c r="C42" s="5" t="inlineStr">
        <is>
          <t>input_vectors.hex</t>
        </is>
      </c>
      <c r="D42" s="16" t="n">
        <v>40</v>
      </c>
      <c r="E42" s="16" t="inlineStr">
        <is>
          <t>Mid-stream</t>
        </is>
      </c>
      <c r="F42" s="17" t="inlineStr">
        <is>
          <t>CE4A2BBD</t>
        </is>
      </c>
      <c r="G42" s="17">
        <f>MID(F42,1,2)</f>
        <v/>
      </c>
      <c r="H42" s="17">
        <f>MID(F42,3,2)</f>
        <v/>
      </c>
      <c r="I42" s="17">
        <f>MID(F42,5,2)</f>
        <v/>
      </c>
      <c r="J42" s="17">
        <f>MID(F42,7,2)</f>
        <v/>
      </c>
      <c r="K42" s="17" t="inlineStr">
        <is>
          <t>CE4A2BBD</t>
        </is>
      </c>
      <c r="L42" s="17" t="inlineStr">
        <is>
          <t>CE4A2BBD</t>
        </is>
      </c>
      <c r="M42" s="16">
        <f>IF(K42=L42,"MATCH","MISMATCH")</f>
        <v/>
      </c>
      <c r="N42" s="18" t="inlineStr">
        <is>
          <t>11001110010010100010101110111101</t>
        </is>
      </c>
      <c r="O42" s="18" t="inlineStr">
        <is>
          <t>11001110010010100010101110111101</t>
        </is>
      </c>
      <c r="P42" s="16">
        <f>IF(N42=O42,"MATCH","MISMATCH")</f>
        <v/>
      </c>
      <c r="Q42" s="16" t="n">
        <v>40</v>
      </c>
      <c r="R42" s="12">
        <f>IF(Q42&lt;0,"n/a",Q42*Summary!$B$11)</f>
        <v/>
      </c>
      <c r="S42" s="16">
        <f>IF(Q42&lt;0,"NEVER",IF(Q42&lt;=Summary!$B$12,"OK","OVER LIMIT"))</f>
        <v/>
      </c>
      <c r="T42" s="16">
        <f>IF(AND(M42="MATCH",P42="MATCH",S42="OK"),"PASS","FAIL")</f>
        <v/>
      </c>
    </row>
    <row r="43">
      <c r="A43" s="16" t="n">
        <v>1</v>
      </c>
      <c r="B43" s="5" t="inlineStr">
        <is>
          <t>2026-10-22 16:04:25</t>
        </is>
      </c>
      <c r="C43" s="5" t="inlineStr">
        <is>
          <t>input_vectors.hex</t>
        </is>
      </c>
      <c r="D43" s="16" t="n">
        <v>41</v>
      </c>
      <c r="E43" s="16" t="inlineStr">
        <is>
          <t>Mid-stream</t>
        </is>
      </c>
      <c r="F43" s="17" t="inlineStr">
        <is>
          <t>28DF6EC4</t>
        </is>
      </c>
      <c r="G43" s="17">
        <f>MID(F43,1,2)</f>
        <v/>
      </c>
      <c r="H43" s="17">
        <f>MID(F43,3,2)</f>
        <v/>
      </c>
      <c r="I43" s="17">
        <f>MID(F43,5,2)</f>
        <v/>
      </c>
      <c r="J43" s="17">
        <f>MID(F43,7,2)</f>
        <v/>
      </c>
      <c r="K43" s="17" t="inlineStr">
        <is>
          <t>28DF6EC4</t>
        </is>
      </c>
      <c r="L43" s="17" t="inlineStr">
        <is>
          <t>28DF6EC4</t>
        </is>
      </c>
      <c r="M43" s="16">
        <f>IF(K43=L43,"MATCH","MISMATCH")</f>
        <v/>
      </c>
      <c r="N43" s="18" t="inlineStr">
        <is>
          <t>00101000110111110110111011000100</t>
        </is>
      </c>
      <c r="O43" s="18" t="inlineStr">
        <is>
          <t>00101000110111110110111011000100</t>
        </is>
      </c>
      <c r="P43" s="16">
        <f>IF(N43=O43,"MATCH","MISMATCH")</f>
        <v/>
      </c>
      <c r="Q43" s="16" t="n">
        <v>40</v>
      </c>
      <c r="R43" s="12">
        <f>IF(Q43&lt;0,"n/a",Q43*Summary!$B$11)</f>
        <v/>
      </c>
      <c r="S43" s="16">
        <f>IF(Q43&lt;0,"NEVER",IF(Q43&lt;=Summary!$B$12,"OK","OVER LIMIT"))</f>
        <v/>
      </c>
      <c r="T43" s="16">
        <f>IF(AND(M43="MATCH",P43="MATCH",S43="OK"),"PASS","FAIL")</f>
        <v/>
      </c>
    </row>
    <row r="44">
      <c r="A44" s="16" t="n">
        <v>1</v>
      </c>
      <c r="B44" s="5" t="inlineStr">
        <is>
          <t>2026-10-22 16:04:25</t>
        </is>
      </c>
      <c r="C44" s="5" t="inlineStr">
        <is>
          <t>input_vectors.hex</t>
        </is>
      </c>
      <c r="D44" s="16" t="n">
        <v>42</v>
      </c>
      <c r="E44" s="16" t="inlineStr">
        <is>
          <t>Mid-stream</t>
        </is>
      </c>
      <c r="F44" s="17" t="inlineStr">
        <is>
          <t>B2B9437A</t>
        </is>
      </c>
      <c r="G44" s="17">
        <f>MID(F44,1,2)</f>
        <v/>
      </c>
      <c r="H44" s="17">
        <f>MID(F44,3,2)</f>
        <v/>
      </c>
      <c r="I44" s="17">
        <f>MID(F44,5,2)</f>
        <v/>
      </c>
      <c r="J44" s="17">
        <f>MID(F44,7,2)</f>
        <v/>
      </c>
      <c r="K44" s="17" t="inlineStr">
        <is>
          <t>B2B9437A</t>
        </is>
      </c>
      <c r="L44" s="17" t="inlineStr">
        <is>
          <t>B2B9437A</t>
        </is>
      </c>
      <c r="M44" s="16">
        <f>IF(K44=L44,"MATCH","MISMATCH")</f>
        <v/>
      </c>
      <c r="N44" s="18" t="inlineStr">
        <is>
          <t>10110010101110010100001101111010</t>
        </is>
      </c>
      <c r="O44" s="18" t="inlineStr">
        <is>
          <t>10110010101110010100001101111010</t>
        </is>
      </c>
      <c r="P44" s="16">
        <f>IF(N44=O44,"MATCH","MISMATCH")</f>
        <v/>
      </c>
      <c r="Q44" s="16" t="n">
        <v>40</v>
      </c>
      <c r="R44" s="12">
        <f>IF(Q44&lt;0,"n/a",Q44*Summary!$B$11)</f>
        <v/>
      </c>
      <c r="S44" s="16">
        <f>IF(Q44&lt;0,"NEVER",IF(Q44&lt;=Summary!$B$12,"OK","OVER LIMIT"))</f>
        <v/>
      </c>
      <c r="T44" s="16">
        <f>IF(AND(M44="MATCH",P44="MATCH",S44="OK"),"PASS","FAIL")</f>
        <v/>
      </c>
    </row>
    <row r="45">
      <c r="A45" s="16" t="n">
        <v>1</v>
      </c>
      <c r="B45" s="5" t="inlineStr">
        <is>
          <t>2026-10-22 16:04:25</t>
        </is>
      </c>
      <c r="C45" s="5" t="inlineStr">
        <is>
          <t>input_vectors.hex</t>
        </is>
      </c>
      <c r="D45" s="16" t="n">
        <v>43</v>
      </c>
      <c r="E45" s="16" t="inlineStr">
        <is>
          <t>Mid-stream</t>
        </is>
      </c>
      <c r="F45" s="17" t="inlineStr">
        <is>
          <t>6C307511</t>
        </is>
      </c>
      <c r="G45" s="17">
        <f>MID(F45,1,2)</f>
        <v/>
      </c>
      <c r="H45" s="17">
        <f>MID(F45,3,2)</f>
        <v/>
      </c>
      <c r="I45" s="17">
        <f>MID(F45,5,2)</f>
        <v/>
      </c>
      <c r="J45" s="17">
        <f>MID(F45,7,2)</f>
        <v/>
      </c>
      <c r="K45" s="17" t="inlineStr">
        <is>
          <t>6C307511</t>
        </is>
      </c>
      <c r="L45" s="17" t="inlineStr">
        <is>
          <t>6C307511</t>
        </is>
      </c>
      <c r="M45" s="16">
        <f>IF(K45=L45,"MATCH","MISMATCH")</f>
        <v/>
      </c>
      <c r="N45" s="18" t="inlineStr">
        <is>
          <t>01101100001100000111010100010001</t>
        </is>
      </c>
      <c r="O45" s="18" t="inlineStr">
        <is>
          <t>01101100001100000111010100010001</t>
        </is>
      </c>
      <c r="P45" s="16">
        <f>IF(N45=O45,"MATCH","MISMATCH")</f>
        <v/>
      </c>
      <c r="Q45" s="16" t="n">
        <v>40</v>
      </c>
      <c r="R45" s="12">
        <f>IF(Q45&lt;0,"n/a",Q45*Summary!$B$11)</f>
        <v/>
      </c>
      <c r="S45" s="16">
        <f>IF(Q45&lt;0,"NEVER",IF(Q45&lt;=Summary!$B$12,"OK","OVER LIMIT"))</f>
        <v/>
      </c>
      <c r="T45" s="16">
        <f>IF(AND(M45="MATCH",P45="MATCH",S45="OK"),"PASS","FAIL")</f>
        <v/>
      </c>
    </row>
    <row r="46">
      <c r="A46" s="16" t="n">
        <v>1</v>
      </c>
      <c r="B46" s="5" t="inlineStr">
        <is>
          <t>2026-10-22 16:04:25</t>
        </is>
      </c>
      <c r="C46" s="5" t="inlineStr">
        <is>
          <t>input_vectors.hex</t>
        </is>
      </c>
      <c r="D46" s="16" t="n">
        <v>44</v>
      </c>
      <c r="E46" s="16" t="inlineStr">
        <is>
          <t>Mid-stream</t>
        </is>
      </c>
      <c r="F46" s="17" t="inlineStr">
        <is>
          <t>571AA876</t>
        </is>
      </c>
      <c r="G46" s="17">
        <f>MID(F46,1,2)</f>
        <v/>
      </c>
      <c r="H46" s="17">
        <f>MID(F46,3,2)</f>
        <v/>
      </c>
      <c r="I46" s="17">
        <f>MID(F46,5,2)</f>
        <v/>
      </c>
      <c r="J46" s="17">
        <f>MID(F46,7,2)</f>
        <v/>
      </c>
      <c r="K46" s="17" t="inlineStr">
        <is>
          <t>571AA876</t>
        </is>
      </c>
      <c r="L46" s="17" t="inlineStr">
        <is>
          <t>571AA876</t>
        </is>
      </c>
      <c r="M46" s="16">
        <f>IF(K46=L46,"MATCH","MISMATCH")</f>
        <v/>
      </c>
      <c r="N46" s="18" t="inlineStr">
        <is>
          <t>01010111000110101010100001110110</t>
        </is>
      </c>
      <c r="O46" s="18" t="inlineStr">
        <is>
          <t>01010111000110101010100001110110</t>
        </is>
      </c>
      <c r="P46" s="16">
        <f>IF(N46=O46,"MATCH","MISMATCH")</f>
        <v/>
      </c>
      <c r="Q46" s="16" t="n">
        <v>40</v>
      </c>
      <c r="R46" s="12">
        <f>IF(Q46&lt;0,"n/a",Q46*Summary!$B$11)</f>
        <v/>
      </c>
      <c r="S46" s="16">
        <f>IF(Q46&lt;0,"NEVER",IF(Q46&lt;=Summary!$B$12,"OK","OVER LIMIT"))</f>
        <v/>
      </c>
      <c r="T46" s="16">
        <f>IF(AND(M46="MATCH",P46="MATCH",S46="OK"),"PASS","FAIL")</f>
        <v/>
      </c>
    </row>
    <row r="47">
      <c r="A47" s="16" t="n">
        <v>1</v>
      </c>
      <c r="B47" s="5" t="inlineStr">
        <is>
          <t>2026-10-22 16:04:25</t>
        </is>
      </c>
      <c r="C47" s="5" t="inlineStr">
        <is>
          <t>input_vectors.hex</t>
        </is>
      </c>
      <c r="D47" s="16" t="n">
        <v>45</v>
      </c>
      <c r="E47" s="16" t="inlineStr">
        <is>
          <t>Mid-stream</t>
        </is>
      </c>
      <c r="F47" s="17" t="inlineStr">
        <is>
          <t>47229389</t>
        </is>
      </c>
      <c r="G47" s="17">
        <f>MID(F47,1,2)</f>
        <v/>
      </c>
      <c r="H47" s="17">
        <f>MID(F47,3,2)</f>
        <v/>
      </c>
      <c r="I47" s="17">
        <f>MID(F47,5,2)</f>
        <v/>
      </c>
      <c r="J47" s="17">
        <f>MID(F47,7,2)</f>
        <v/>
      </c>
      <c r="K47" s="17" t="inlineStr">
        <is>
          <t>47229389</t>
        </is>
      </c>
      <c r="L47" s="17" t="inlineStr">
        <is>
          <t>47229389</t>
        </is>
      </c>
      <c r="M47" s="16">
        <f>IF(K47=L47,"MATCH","MISMATCH")</f>
        <v/>
      </c>
      <c r="N47" s="18" t="inlineStr">
        <is>
          <t>01000111001000101001001110001001</t>
        </is>
      </c>
      <c r="O47" s="18" t="inlineStr">
        <is>
          <t>01000111001000101001001110001001</t>
        </is>
      </c>
      <c r="P47" s="16">
        <f>IF(N47=O47,"MATCH","MISMATCH")</f>
        <v/>
      </c>
      <c r="Q47" s="16" t="n">
        <v>40</v>
      </c>
      <c r="R47" s="12">
        <f>IF(Q47&lt;0,"n/a",Q47*Summary!$B$11)</f>
        <v/>
      </c>
      <c r="S47" s="16">
        <f>IF(Q47&lt;0,"NEVER",IF(Q47&lt;=Summary!$B$12,"OK","OVER LIMIT"))</f>
        <v/>
      </c>
      <c r="T47" s="16">
        <f>IF(AND(M47="MATCH",P47="MATCH",S47="OK"),"PASS","FAIL")</f>
        <v/>
      </c>
    </row>
    <row r="48">
      <c r="A48" s="16" t="n">
        <v>1</v>
      </c>
      <c r="B48" s="5" t="inlineStr">
        <is>
          <t>2026-10-22 16:04:25</t>
        </is>
      </c>
      <c r="C48" s="5" t="inlineStr">
        <is>
          <t>input_vectors.hex</t>
        </is>
      </c>
      <c r="D48" s="16" t="n">
        <v>46</v>
      </c>
      <c r="E48" s="16" t="inlineStr">
        <is>
          <t>Mid-stream</t>
        </is>
      </c>
      <c r="F48" s="17" t="inlineStr">
        <is>
          <t>27CD8130</t>
        </is>
      </c>
      <c r="G48" s="17">
        <f>MID(F48,1,2)</f>
        <v/>
      </c>
      <c r="H48" s="17">
        <f>MID(F48,3,2)</f>
        <v/>
      </c>
      <c r="I48" s="17">
        <f>MID(F48,5,2)</f>
        <v/>
      </c>
      <c r="J48" s="17">
        <f>MID(F48,7,2)</f>
        <v/>
      </c>
      <c r="K48" s="17" t="inlineStr">
        <is>
          <t>27CD8130</t>
        </is>
      </c>
      <c r="L48" s="17" t="inlineStr">
        <is>
          <t>27CD8130</t>
        </is>
      </c>
      <c r="M48" s="16">
        <f>IF(K48=L48,"MATCH","MISMATCH")</f>
        <v/>
      </c>
      <c r="N48" s="18" t="inlineStr">
        <is>
          <t>00100111110011011000000100110000</t>
        </is>
      </c>
      <c r="O48" s="18" t="inlineStr">
        <is>
          <t>00100111110011011000000100110000</t>
        </is>
      </c>
      <c r="P48" s="16">
        <f>IF(N48=O48,"MATCH","MISMATCH")</f>
        <v/>
      </c>
      <c r="Q48" s="16" t="n">
        <v>40</v>
      </c>
      <c r="R48" s="12">
        <f>IF(Q48&lt;0,"n/a",Q48*Summary!$B$11)</f>
        <v/>
      </c>
      <c r="S48" s="16">
        <f>IF(Q48&lt;0,"NEVER",IF(Q48&lt;=Summary!$B$12,"OK","OVER LIMIT"))</f>
        <v/>
      </c>
      <c r="T48" s="16">
        <f>IF(AND(M48="MATCH",P48="MATCH",S48="OK"),"PASS","FAIL")</f>
        <v/>
      </c>
    </row>
    <row r="49">
      <c r="A49" s="16" t="n">
        <v>1</v>
      </c>
      <c r="B49" s="5" t="inlineStr">
        <is>
          <t>2026-10-22 16:04:25</t>
        </is>
      </c>
      <c r="C49" s="5" t="inlineStr">
        <is>
          <t>input_vectors.hex</t>
        </is>
      </c>
      <c r="D49" s="16" t="n">
        <v>47</v>
      </c>
      <c r="E49" s="16" t="inlineStr">
        <is>
          <t>Mid-stream</t>
        </is>
      </c>
      <c r="F49" s="17" t="inlineStr">
        <is>
          <t>371ECD7B</t>
        </is>
      </c>
      <c r="G49" s="17">
        <f>MID(F49,1,2)</f>
        <v/>
      </c>
      <c r="H49" s="17">
        <f>MID(F49,3,2)</f>
        <v/>
      </c>
      <c r="I49" s="17">
        <f>MID(F49,5,2)</f>
        <v/>
      </c>
      <c r="J49" s="17">
        <f>MID(F49,7,2)</f>
        <v/>
      </c>
      <c r="K49" s="17" t="inlineStr">
        <is>
          <t>371ECD7B</t>
        </is>
      </c>
      <c r="L49" s="17" t="inlineStr">
        <is>
          <t>371ECD7B</t>
        </is>
      </c>
      <c r="M49" s="16">
        <f>IF(K49=L49,"MATCH","MISMATCH")</f>
        <v/>
      </c>
      <c r="N49" s="18" t="inlineStr">
        <is>
          <t>00110111000111101100110101111011</t>
        </is>
      </c>
      <c r="O49" s="18" t="inlineStr">
        <is>
          <t>00110111000111101100110101111011</t>
        </is>
      </c>
      <c r="P49" s="16">
        <f>IF(N49=O49,"MATCH","MISMATCH")</f>
        <v/>
      </c>
      <c r="Q49" s="16" t="n">
        <v>40</v>
      </c>
      <c r="R49" s="12">
        <f>IF(Q49&lt;0,"n/a",Q49*Summary!$B$11)</f>
        <v/>
      </c>
      <c r="S49" s="16">
        <f>IF(Q49&lt;0,"NEVER",IF(Q49&lt;=Summary!$B$12,"OK","OVER LIMIT"))</f>
        <v/>
      </c>
      <c r="T49" s="16">
        <f>IF(AND(M49="MATCH",P49="MATCH",S49="OK"),"PASS","FAIL")</f>
        <v/>
      </c>
    </row>
    <row r="50">
      <c r="A50" s="16" t="n">
        <v>1</v>
      </c>
      <c r="B50" s="5" t="inlineStr">
        <is>
          <t>2026-10-22 16:04:25</t>
        </is>
      </c>
      <c r="C50" s="5" t="inlineStr">
        <is>
          <t>input_vectors.hex</t>
        </is>
      </c>
      <c r="D50" s="16" t="n">
        <v>48</v>
      </c>
      <c r="E50" s="16" t="inlineStr">
        <is>
          <t>Mid-stream</t>
        </is>
      </c>
      <c r="F50" s="17" t="inlineStr">
        <is>
          <t>F50BEA63</t>
        </is>
      </c>
      <c r="G50" s="17">
        <f>MID(F50,1,2)</f>
        <v/>
      </c>
      <c r="H50" s="17">
        <f>MID(F50,3,2)</f>
        <v/>
      </c>
      <c r="I50" s="17">
        <f>MID(F50,5,2)</f>
        <v/>
      </c>
      <c r="J50" s="17">
        <f>MID(F50,7,2)</f>
        <v/>
      </c>
      <c r="K50" s="17" t="inlineStr">
        <is>
          <t>F50BEA63</t>
        </is>
      </c>
      <c r="L50" s="17" t="inlineStr">
        <is>
          <t>F50BEA63</t>
        </is>
      </c>
      <c r="M50" s="16">
        <f>IF(K50=L50,"MATCH","MISMATCH")</f>
        <v/>
      </c>
      <c r="N50" s="18" t="inlineStr">
        <is>
          <t>11110101000010111110101001100011</t>
        </is>
      </c>
      <c r="O50" s="18" t="inlineStr">
        <is>
          <t>11110101000010111110101001100011</t>
        </is>
      </c>
      <c r="P50" s="16">
        <f>IF(N50=O50,"MATCH","MISMATCH")</f>
        <v/>
      </c>
      <c r="Q50" s="16" t="n">
        <v>40</v>
      </c>
      <c r="R50" s="12">
        <f>IF(Q50&lt;0,"n/a",Q50*Summary!$B$11)</f>
        <v/>
      </c>
      <c r="S50" s="16">
        <f>IF(Q50&lt;0,"NEVER",IF(Q50&lt;=Summary!$B$12,"OK","OVER LIMIT"))</f>
        <v/>
      </c>
      <c r="T50" s="16">
        <f>IF(AND(M50="MATCH",P50="MATCH",S50="OK"),"PASS","FAIL")</f>
        <v/>
      </c>
    </row>
    <row r="51">
      <c r="A51" s="16" t="n">
        <v>1</v>
      </c>
      <c r="B51" s="5" t="inlineStr">
        <is>
          <t>2026-10-22 16:04:25</t>
        </is>
      </c>
      <c r="C51" s="5" t="inlineStr">
        <is>
          <t>input_vectors.hex</t>
        </is>
      </c>
      <c r="D51" s="16" t="n">
        <v>49</v>
      </c>
      <c r="E51" s="16" t="inlineStr">
        <is>
          <t>Mid-stream</t>
        </is>
      </c>
      <c r="F51" s="17" t="inlineStr">
        <is>
          <t>C37459EE</t>
        </is>
      </c>
      <c r="G51" s="17">
        <f>MID(F51,1,2)</f>
        <v/>
      </c>
      <c r="H51" s="17">
        <f>MID(F51,3,2)</f>
        <v/>
      </c>
      <c r="I51" s="17">
        <f>MID(F51,5,2)</f>
        <v/>
      </c>
      <c r="J51" s="17">
        <f>MID(F51,7,2)</f>
        <v/>
      </c>
      <c r="K51" s="17" t="inlineStr">
        <is>
          <t>C37459EE</t>
        </is>
      </c>
      <c r="L51" s="17" t="inlineStr">
        <is>
          <t>C37459EE</t>
        </is>
      </c>
      <c r="M51" s="16">
        <f>IF(K51=L51,"MATCH","MISMATCH")</f>
        <v/>
      </c>
      <c r="N51" s="18" t="inlineStr">
        <is>
          <t>11000011011101000101100111101110</t>
        </is>
      </c>
      <c r="O51" s="18" t="inlineStr">
        <is>
          <t>11000011011101000101100111101110</t>
        </is>
      </c>
      <c r="P51" s="16">
        <f>IF(N51=O51,"MATCH","MISMATCH")</f>
        <v/>
      </c>
      <c r="Q51" s="16" t="n">
        <v>40</v>
      </c>
      <c r="R51" s="12">
        <f>IF(Q51&lt;0,"n/a",Q51*Summary!$B$11)</f>
        <v/>
      </c>
      <c r="S51" s="16">
        <f>IF(Q51&lt;0,"NEVER",IF(Q51&lt;=Summary!$B$12,"OK","OVER LIMIT"))</f>
        <v/>
      </c>
      <c r="T51" s="16">
        <f>IF(AND(M51="MATCH",P51="MATCH",S51="OK"),"PASS","FAIL")</f>
        <v/>
      </c>
    </row>
    <row r="52">
      <c r="A52" s="16" t="n">
        <v>1</v>
      </c>
      <c r="B52" s="5" t="inlineStr">
        <is>
          <t>2026-10-22 16:04:25</t>
        </is>
      </c>
      <c r="C52" s="5" t="inlineStr">
        <is>
          <t>input_vectors.hex</t>
        </is>
      </c>
      <c r="D52" s="16" t="n">
        <v>50</v>
      </c>
      <c r="E52" s="16" t="inlineStr">
        <is>
          <t>Mid-stream</t>
        </is>
      </c>
      <c r="F52" s="17" t="inlineStr">
        <is>
          <t>562B0F79</t>
        </is>
      </c>
      <c r="G52" s="17">
        <f>MID(F52,1,2)</f>
        <v/>
      </c>
      <c r="H52" s="17">
        <f>MID(F52,3,2)</f>
        <v/>
      </c>
      <c r="I52" s="17">
        <f>MID(F52,5,2)</f>
        <v/>
      </c>
      <c r="J52" s="17">
        <f>MID(F52,7,2)</f>
        <v/>
      </c>
      <c r="K52" s="17" t="inlineStr">
        <is>
          <t>562B0F79</t>
        </is>
      </c>
      <c r="L52" s="17" t="inlineStr">
        <is>
          <t>562B0F79</t>
        </is>
      </c>
      <c r="M52" s="16">
        <f>IF(K52=L52,"MATCH","MISMATCH")</f>
        <v/>
      </c>
      <c r="N52" s="18" t="inlineStr">
        <is>
          <t>01010110001010110000111101111001</t>
        </is>
      </c>
      <c r="O52" s="18" t="inlineStr">
        <is>
          <t>01010110001010110000111101111001</t>
        </is>
      </c>
      <c r="P52" s="16">
        <f>IF(N52=O52,"MATCH","MISMATCH")</f>
        <v/>
      </c>
      <c r="Q52" s="16" t="n">
        <v>40</v>
      </c>
      <c r="R52" s="12">
        <f>IF(Q52&lt;0,"n/a",Q52*Summary!$B$11)</f>
        <v/>
      </c>
      <c r="S52" s="16">
        <f>IF(Q52&lt;0,"NEVER",IF(Q52&lt;=Summary!$B$12,"OK","OVER LIMIT"))</f>
        <v/>
      </c>
      <c r="T52" s="16">
        <f>IF(AND(M52="MATCH",P52="MATCH",S52="OK"),"PASS","FAIL")</f>
        <v/>
      </c>
    </row>
    <row r="53">
      <c r="A53" s="16" t="n">
        <v>1</v>
      </c>
      <c r="B53" s="5" t="inlineStr">
        <is>
          <t>2026-10-22 16:04:25</t>
        </is>
      </c>
      <c r="C53" s="5" t="inlineStr">
        <is>
          <t>input_vectors.hex</t>
        </is>
      </c>
      <c r="D53" s="16" t="n">
        <v>51</v>
      </c>
      <c r="E53" s="16" t="inlineStr">
        <is>
          <t>Mid-stream</t>
        </is>
      </c>
      <c r="F53" s="17" t="inlineStr">
        <is>
          <t>1A2A73ED</t>
        </is>
      </c>
      <c r="G53" s="17">
        <f>MID(F53,1,2)</f>
        <v/>
      </c>
      <c r="H53" s="17">
        <f>MID(F53,3,2)</f>
        <v/>
      </c>
      <c r="I53" s="17">
        <f>MID(F53,5,2)</f>
        <v/>
      </c>
      <c r="J53" s="17">
        <f>MID(F53,7,2)</f>
        <v/>
      </c>
      <c r="K53" s="17" t="inlineStr">
        <is>
          <t>1A2A73ED</t>
        </is>
      </c>
      <c r="L53" s="17" t="inlineStr">
        <is>
          <t>1A2A73ED</t>
        </is>
      </c>
      <c r="M53" s="16">
        <f>IF(K53=L53,"MATCH","MISMATCH")</f>
        <v/>
      </c>
      <c r="N53" s="18" t="inlineStr">
        <is>
          <t>00011010001010100111001111101101</t>
        </is>
      </c>
      <c r="O53" s="18" t="inlineStr">
        <is>
          <t>00011010001010100111001111101101</t>
        </is>
      </c>
      <c r="P53" s="16">
        <f>IF(N53=O53,"MATCH","MISMATCH")</f>
        <v/>
      </c>
      <c r="Q53" s="16" t="n">
        <v>40</v>
      </c>
      <c r="R53" s="12">
        <f>IF(Q53&lt;0,"n/a",Q53*Summary!$B$11)</f>
        <v/>
      </c>
      <c r="S53" s="16">
        <f>IF(Q53&lt;0,"NEVER",IF(Q53&lt;=Summary!$B$12,"OK","OVER LIMIT"))</f>
        <v/>
      </c>
      <c r="T53" s="16">
        <f>IF(AND(M53="MATCH",P53="MATCH",S53="OK"),"PASS","FAIL")</f>
        <v/>
      </c>
    </row>
    <row r="54">
      <c r="A54" s="16" t="n">
        <v>1</v>
      </c>
      <c r="B54" s="5" t="inlineStr">
        <is>
          <t>2026-10-22 16:04:25</t>
        </is>
      </c>
      <c r="C54" s="5" t="inlineStr">
        <is>
          <t>input_vectors.hex</t>
        </is>
      </c>
      <c r="D54" s="16" t="n">
        <v>52</v>
      </c>
      <c r="E54" s="16" t="inlineStr">
        <is>
          <t>Mid-stream</t>
        </is>
      </c>
      <c r="F54" s="17" t="inlineStr">
        <is>
          <t>17BE3111</t>
        </is>
      </c>
      <c r="G54" s="17">
        <f>MID(F54,1,2)</f>
        <v/>
      </c>
      <c r="H54" s="17">
        <f>MID(F54,3,2)</f>
        <v/>
      </c>
      <c r="I54" s="17">
        <f>MID(F54,5,2)</f>
        <v/>
      </c>
      <c r="J54" s="17">
        <f>MID(F54,7,2)</f>
        <v/>
      </c>
      <c r="K54" s="17" t="inlineStr">
        <is>
          <t>17BE3111</t>
        </is>
      </c>
      <c r="L54" s="17" t="inlineStr">
        <is>
          <t>17BE3111</t>
        </is>
      </c>
      <c r="M54" s="16">
        <f>IF(K54=L54,"MATCH","MISMATCH")</f>
        <v/>
      </c>
      <c r="N54" s="18" t="inlineStr">
        <is>
          <t>00010111101111100011000100010001</t>
        </is>
      </c>
      <c r="O54" s="18" t="inlineStr">
        <is>
          <t>00010111101111100011000100010001</t>
        </is>
      </c>
      <c r="P54" s="16">
        <f>IF(N54=O54,"MATCH","MISMATCH")</f>
        <v/>
      </c>
      <c r="Q54" s="16" t="n">
        <v>40</v>
      </c>
      <c r="R54" s="12">
        <f>IF(Q54&lt;0,"n/a",Q54*Summary!$B$11)</f>
        <v/>
      </c>
      <c r="S54" s="16">
        <f>IF(Q54&lt;0,"NEVER",IF(Q54&lt;=Summary!$B$12,"OK","OVER LIMIT"))</f>
        <v/>
      </c>
      <c r="T54" s="16">
        <f>IF(AND(M54="MATCH",P54="MATCH",S54="OK"),"PASS","FAIL")</f>
        <v/>
      </c>
    </row>
    <row r="55">
      <c r="A55" s="16" t="n">
        <v>1</v>
      </c>
      <c r="B55" s="5" t="inlineStr">
        <is>
          <t>2026-10-22 16:04:25</t>
        </is>
      </c>
      <c r="C55" s="5" t="inlineStr">
        <is>
          <t>input_vectors.hex</t>
        </is>
      </c>
      <c r="D55" s="16" t="n">
        <v>53</v>
      </c>
      <c r="E55" s="16" t="inlineStr">
        <is>
          <t>Mid-stream</t>
        </is>
      </c>
      <c r="F55" s="17" t="inlineStr">
        <is>
          <t>6142EA7D</t>
        </is>
      </c>
      <c r="G55" s="17">
        <f>MID(F55,1,2)</f>
        <v/>
      </c>
      <c r="H55" s="17">
        <f>MID(F55,3,2)</f>
        <v/>
      </c>
      <c r="I55" s="17">
        <f>MID(F55,5,2)</f>
        <v/>
      </c>
      <c r="J55" s="17">
        <f>MID(F55,7,2)</f>
        <v/>
      </c>
      <c r="K55" s="17" t="inlineStr">
        <is>
          <t>6142EA7D</t>
        </is>
      </c>
      <c r="L55" s="17" t="inlineStr">
        <is>
          <t>6142EA7D</t>
        </is>
      </c>
      <c r="M55" s="16">
        <f>IF(K55=L55,"MATCH","MISMATCH")</f>
        <v/>
      </c>
      <c r="N55" s="18" t="inlineStr">
        <is>
          <t>01100001010000101110101001111101</t>
        </is>
      </c>
      <c r="O55" s="18" t="inlineStr">
        <is>
          <t>01100001010000101110101001111101</t>
        </is>
      </c>
      <c r="P55" s="16">
        <f>IF(N55=O55,"MATCH","MISMATCH")</f>
        <v/>
      </c>
      <c r="Q55" s="16" t="n">
        <v>40</v>
      </c>
      <c r="R55" s="12">
        <f>IF(Q55&lt;0,"n/a",Q55*Summary!$B$11)</f>
        <v/>
      </c>
      <c r="S55" s="16">
        <f>IF(Q55&lt;0,"NEVER",IF(Q55&lt;=Summary!$B$12,"OK","OVER LIMIT"))</f>
        <v/>
      </c>
      <c r="T55" s="16">
        <f>IF(AND(M55="MATCH",P55="MATCH",S55="OK"),"PASS","FAIL")</f>
        <v/>
      </c>
    </row>
    <row r="56">
      <c r="A56" s="16" t="n">
        <v>1</v>
      </c>
      <c r="B56" s="5" t="inlineStr">
        <is>
          <t>2026-10-22 16:04:25</t>
        </is>
      </c>
      <c r="C56" s="5" t="inlineStr">
        <is>
          <t>input_vectors.hex</t>
        </is>
      </c>
      <c r="D56" s="16" t="n">
        <v>54</v>
      </c>
      <c r="E56" s="16" t="inlineStr">
        <is>
          <t>Mid-stream</t>
        </is>
      </c>
      <c r="F56" s="17" t="inlineStr">
        <is>
          <t>18C26797</t>
        </is>
      </c>
      <c r="G56" s="17">
        <f>MID(F56,1,2)</f>
        <v/>
      </c>
      <c r="H56" s="17">
        <f>MID(F56,3,2)</f>
        <v/>
      </c>
      <c r="I56" s="17">
        <f>MID(F56,5,2)</f>
        <v/>
      </c>
      <c r="J56" s="17">
        <f>MID(F56,7,2)</f>
        <v/>
      </c>
      <c r="K56" s="17" t="inlineStr">
        <is>
          <t>18C26797</t>
        </is>
      </c>
      <c r="L56" s="17" t="inlineStr">
        <is>
          <t>18C26797</t>
        </is>
      </c>
      <c r="M56" s="16">
        <f>IF(K56=L56,"MATCH","MISMATCH")</f>
        <v/>
      </c>
      <c r="N56" s="18" t="inlineStr">
        <is>
          <t>00011000110000100110011110010111</t>
        </is>
      </c>
      <c r="O56" s="18" t="inlineStr">
        <is>
          <t>00011000110000100110011110010111</t>
        </is>
      </c>
      <c r="P56" s="16">
        <f>IF(N56=O56,"MATCH","MISMATCH")</f>
        <v/>
      </c>
      <c r="Q56" s="16" t="n">
        <v>40</v>
      </c>
      <c r="R56" s="12">
        <f>IF(Q56&lt;0,"n/a",Q56*Summary!$B$11)</f>
        <v/>
      </c>
      <c r="S56" s="16">
        <f>IF(Q56&lt;0,"NEVER",IF(Q56&lt;=Summary!$B$12,"OK","OVER LIMIT"))</f>
        <v/>
      </c>
      <c r="T56" s="16">
        <f>IF(AND(M56="MATCH",P56="MATCH",S56="OK"),"PASS","FAIL")</f>
        <v/>
      </c>
    </row>
    <row r="57">
      <c r="A57" s="16" t="n">
        <v>1</v>
      </c>
      <c r="B57" s="5" t="inlineStr">
        <is>
          <t>2026-10-22 16:04:25</t>
        </is>
      </c>
      <c r="C57" s="5" t="inlineStr">
        <is>
          <t>input_vectors.hex</t>
        </is>
      </c>
      <c r="D57" s="16" t="n">
        <v>55</v>
      </c>
      <c r="E57" s="16" t="inlineStr">
        <is>
          <t>Mid-stream</t>
        </is>
      </c>
      <c r="F57" s="17" t="inlineStr">
        <is>
          <t>5BE6128E</t>
        </is>
      </c>
      <c r="G57" s="17">
        <f>MID(F57,1,2)</f>
        <v/>
      </c>
      <c r="H57" s="17">
        <f>MID(F57,3,2)</f>
        <v/>
      </c>
      <c r="I57" s="17">
        <f>MID(F57,5,2)</f>
        <v/>
      </c>
      <c r="J57" s="17">
        <f>MID(F57,7,2)</f>
        <v/>
      </c>
      <c r="K57" s="17" t="inlineStr">
        <is>
          <t>5BE6128E</t>
        </is>
      </c>
      <c r="L57" s="17" t="inlineStr">
        <is>
          <t>5BE6128E</t>
        </is>
      </c>
      <c r="M57" s="16">
        <f>IF(K57=L57,"MATCH","MISMATCH")</f>
        <v/>
      </c>
      <c r="N57" s="18" t="inlineStr">
        <is>
          <t>01011011111001100001001010001110</t>
        </is>
      </c>
      <c r="O57" s="18" t="inlineStr">
        <is>
          <t>01011011111001100001001010001110</t>
        </is>
      </c>
      <c r="P57" s="16">
        <f>IF(N57=O57,"MATCH","MISMATCH")</f>
        <v/>
      </c>
      <c r="Q57" s="16" t="n">
        <v>40</v>
      </c>
      <c r="R57" s="12">
        <f>IF(Q57&lt;0,"n/a",Q57*Summary!$B$11)</f>
        <v/>
      </c>
      <c r="S57" s="16">
        <f>IF(Q57&lt;0,"NEVER",IF(Q57&lt;=Summary!$B$12,"OK","OVER LIMIT"))</f>
        <v/>
      </c>
      <c r="T57" s="16">
        <f>IF(AND(M57="MATCH",P57="MATCH",S57="OK"),"PASS","FAIL")</f>
        <v/>
      </c>
    </row>
    <row r="58">
      <c r="A58" s="16" t="n">
        <v>1</v>
      </c>
      <c r="B58" s="5" t="inlineStr">
        <is>
          <t>2026-10-22 16:04:25</t>
        </is>
      </c>
      <c r="C58" s="5" t="inlineStr">
        <is>
          <t>input_vectors.hex</t>
        </is>
      </c>
      <c r="D58" s="16" t="n">
        <v>56</v>
      </c>
      <c r="E58" s="16" t="inlineStr">
        <is>
          <t>Mid-stream</t>
        </is>
      </c>
      <c r="F58" s="17" t="inlineStr">
        <is>
          <t>D8F56413</t>
        </is>
      </c>
      <c r="G58" s="17">
        <f>MID(F58,1,2)</f>
        <v/>
      </c>
      <c r="H58" s="17">
        <f>MID(F58,3,2)</f>
        <v/>
      </c>
      <c r="I58" s="17">
        <f>MID(F58,5,2)</f>
        <v/>
      </c>
      <c r="J58" s="17">
        <f>MID(F58,7,2)</f>
        <v/>
      </c>
      <c r="K58" s="17" t="inlineStr">
        <is>
          <t>D8F56413</t>
        </is>
      </c>
      <c r="L58" s="17" t="inlineStr">
        <is>
          <t>D8F56413</t>
        </is>
      </c>
      <c r="M58" s="16">
        <f>IF(K58=L58,"MATCH","MISMATCH")</f>
        <v/>
      </c>
      <c r="N58" s="18" t="inlineStr">
        <is>
          <t>11011000111101010110010000010011</t>
        </is>
      </c>
      <c r="O58" s="18" t="inlineStr">
        <is>
          <t>11011000111101010110010000010011</t>
        </is>
      </c>
      <c r="P58" s="16">
        <f>IF(N58=O58,"MATCH","MISMATCH")</f>
        <v/>
      </c>
      <c r="Q58" s="16" t="n">
        <v>40</v>
      </c>
      <c r="R58" s="12">
        <f>IF(Q58&lt;0,"n/a",Q58*Summary!$B$11)</f>
        <v/>
      </c>
      <c r="S58" s="16">
        <f>IF(Q58&lt;0,"NEVER",IF(Q58&lt;=Summary!$B$12,"OK","OVER LIMIT"))</f>
        <v/>
      </c>
      <c r="T58" s="16">
        <f>IF(AND(M58="MATCH",P58="MATCH",S58="OK"),"PASS","FAIL")</f>
        <v/>
      </c>
    </row>
    <row r="59">
      <c r="A59" s="16" t="n">
        <v>1</v>
      </c>
      <c r="B59" s="5" t="inlineStr">
        <is>
          <t>2026-10-22 16:04:25</t>
        </is>
      </c>
      <c r="C59" s="5" t="inlineStr">
        <is>
          <t>input_vectors.hex</t>
        </is>
      </c>
      <c r="D59" s="16" t="n">
        <v>57</v>
      </c>
      <c r="E59" s="16" t="inlineStr">
        <is>
          <t>Mid-stream</t>
        </is>
      </c>
      <c r="F59" s="17" t="inlineStr">
        <is>
          <t>580D7B71</t>
        </is>
      </c>
      <c r="G59" s="17">
        <f>MID(F59,1,2)</f>
        <v/>
      </c>
      <c r="H59" s="17">
        <f>MID(F59,3,2)</f>
        <v/>
      </c>
      <c r="I59" s="17">
        <f>MID(F59,5,2)</f>
        <v/>
      </c>
      <c r="J59" s="17">
        <f>MID(F59,7,2)</f>
        <v/>
      </c>
      <c r="K59" s="17" t="inlineStr">
        <is>
          <t>580D7B71</t>
        </is>
      </c>
      <c r="L59" s="17" t="inlineStr">
        <is>
          <t>580D7B71</t>
        </is>
      </c>
      <c r="M59" s="16">
        <f>IF(K59=L59,"MATCH","MISMATCH")</f>
        <v/>
      </c>
      <c r="N59" s="18" t="inlineStr">
        <is>
          <t>01011000000011010111101101110001</t>
        </is>
      </c>
      <c r="O59" s="18" t="inlineStr">
        <is>
          <t>01011000000011010111101101110001</t>
        </is>
      </c>
      <c r="P59" s="16">
        <f>IF(N59=O59,"MATCH","MISMATCH")</f>
        <v/>
      </c>
      <c r="Q59" s="16" t="n">
        <v>40</v>
      </c>
      <c r="R59" s="12">
        <f>IF(Q59&lt;0,"n/a",Q59*Summary!$B$11)</f>
        <v/>
      </c>
      <c r="S59" s="16">
        <f>IF(Q59&lt;0,"NEVER",IF(Q59&lt;=Summary!$B$12,"OK","OVER LIMIT"))</f>
        <v/>
      </c>
      <c r="T59" s="16">
        <f>IF(AND(M59="MATCH",P59="MATCH",S59="OK"),"PASS","FAIL")</f>
        <v/>
      </c>
    </row>
    <row r="60">
      <c r="A60" s="16" t="n">
        <v>1</v>
      </c>
      <c r="B60" s="5" t="inlineStr">
        <is>
          <t>2026-10-22 16:04:25</t>
        </is>
      </c>
      <c r="C60" s="5" t="inlineStr">
        <is>
          <t>input_vectors.hex</t>
        </is>
      </c>
      <c r="D60" s="16" t="n">
        <v>58</v>
      </c>
      <c r="E60" s="16" t="inlineStr">
        <is>
          <t>Mid-stream</t>
        </is>
      </c>
      <c r="F60" s="17" t="inlineStr">
        <is>
          <t>9A8DCA03</t>
        </is>
      </c>
      <c r="G60" s="17">
        <f>MID(F60,1,2)</f>
        <v/>
      </c>
      <c r="H60" s="17">
        <f>MID(F60,3,2)</f>
        <v/>
      </c>
      <c r="I60" s="17">
        <f>MID(F60,5,2)</f>
        <v/>
      </c>
      <c r="J60" s="17">
        <f>MID(F60,7,2)</f>
        <v/>
      </c>
      <c r="K60" s="17" t="inlineStr">
        <is>
          <t>9A8DCA03</t>
        </is>
      </c>
      <c r="L60" s="17" t="inlineStr">
        <is>
          <t>9A8DCA03</t>
        </is>
      </c>
      <c r="M60" s="16">
        <f>IF(K60=L60,"MATCH","MISMATCH")</f>
        <v/>
      </c>
      <c r="N60" s="18" t="inlineStr">
        <is>
          <t>10011010100011011100101000000011</t>
        </is>
      </c>
      <c r="O60" s="18" t="inlineStr">
        <is>
          <t>10011010100011011100101000000011</t>
        </is>
      </c>
      <c r="P60" s="16">
        <f>IF(N60=O60,"MATCH","MISMATCH")</f>
        <v/>
      </c>
      <c r="Q60" s="16" t="n">
        <v>40</v>
      </c>
      <c r="R60" s="12">
        <f>IF(Q60&lt;0,"n/a",Q60*Summary!$B$11)</f>
        <v/>
      </c>
      <c r="S60" s="16">
        <f>IF(Q60&lt;0,"NEVER",IF(Q60&lt;=Summary!$B$12,"OK","OVER LIMIT"))</f>
        <v/>
      </c>
      <c r="T60" s="16">
        <f>IF(AND(M60="MATCH",P60="MATCH",S60="OK"),"PASS","FAIL")</f>
        <v/>
      </c>
    </row>
    <row r="61">
      <c r="A61" s="16" t="n">
        <v>1</v>
      </c>
      <c r="B61" s="5" t="inlineStr">
        <is>
          <t>2026-10-22 16:04:25</t>
        </is>
      </c>
      <c r="C61" s="5" t="inlineStr">
        <is>
          <t>input_vectors.hex</t>
        </is>
      </c>
      <c r="D61" s="16" t="n">
        <v>59</v>
      </c>
      <c r="E61" s="16" t="inlineStr">
        <is>
          <t>Mid-stream</t>
        </is>
      </c>
      <c r="F61" s="17" t="inlineStr">
        <is>
          <t>43B7A3A6</t>
        </is>
      </c>
      <c r="G61" s="17">
        <f>MID(F61,1,2)</f>
        <v/>
      </c>
      <c r="H61" s="17">
        <f>MID(F61,3,2)</f>
        <v/>
      </c>
      <c r="I61" s="17">
        <f>MID(F61,5,2)</f>
        <v/>
      </c>
      <c r="J61" s="17">
        <f>MID(F61,7,2)</f>
        <v/>
      </c>
      <c r="K61" s="17" t="inlineStr">
        <is>
          <t>43B7A3A6</t>
        </is>
      </c>
      <c r="L61" s="17" t="inlineStr">
        <is>
          <t>43B7A3A6</t>
        </is>
      </c>
      <c r="M61" s="16">
        <f>IF(K61=L61,"MATCH","MISMATCH")</f>
        <v/>
      </c>
      <c r="N61" s="18" t="inlineStr">
        <is>
          <t>01000011101101111010001110100110</t>
        </is>
      </c>
      <c r="O61" s="18" t="inlineStr">
        <is>
          <t>01000011101101111010001110100110</t>
        </is>
      </c>
      <c r="P61" s="16">
        <f>IF(N61=O61,"MATCH","MISMATCH")</f>
        <v/>
      </c>
      <c r="Q61" s="16" t="n">
        <v>40</v>
      </c>
      <c r="R61" s="12">
        <f>IF(Q61&lt;0,"n/a",Q61*Summary!$B$11)</f>
        <v/>
      </c>
      <c r="S61" s="16">
        <f>IF(Q61&lt;0,"NEVER",IF(Q61&lt;=Summary!$B$12,"OK","OVER LIMIT"))</f>
        <v/>
      </c>
      <c r="T61" s="16">
        <f>IF(AND(M61="MATCH",P61="MATCH",S61="OK"),"PASS","FAIL")</f>
        <v/>
      </c>
    </row>
    <row r="62">
      <c r="A62" s="16" t="n">
        <v>1</v>
      </c>
      <c r="B62" s="5" t="inlineStr">
        <is>
          <t>2026-10-22 16:04:25</t>
        </is>
      </c>
      <c r="C62" s="5" t="inlineStr">
        <is>
          <t>input_vectors.hex</t>
        </is>
      </c>
      <c r="D62" s="16" t="n">
        <v>60</v>
      </c>
      <c r="E62" s="16" t="inlineStr">
        <is>
          <t>Mid-stream</t>
        </is>
      </c>
      <c r="F62" s="17" t="inlineStr">
        <is>
          <t>CE9FF57F</t>
        </is>
      </c>
      <c r="G62" s="17">
        <f>MID(F62,1,2)</f>
        <v/>
      </c>
      <c r="H62" s="17">
        <f>MID(F62,3,2)</f>
        <v/>
      </c>
      <c r="I62" s="17">
        <f>MID(F62,5,2)</f>
        <v/>
      </c>
      <c r="J62" s="17">
        <f>MID(F62,7,2)</f>
        <v/>
      </c>
      <c r="K62" s="17" t="inlineStr">
        <is>
          <t>CE9FF57F</t>
        </is>
      </c>
      <c r="L62" s="17" t="inlineStr">
        <is>
          <t>CE9FF57F</t>
        </is>
      </c>
      <c r="M62" s="16">
        <f>IF(K62=L62,"MATCH","MISMATCH")</f>
        <v/>
      </c>
      <c r="N62" s="18" t="inlineStr">
        <is>
          <t>11001110100111111111010101111111</t>
        </is>
      </c>
      <c r="O62" s="18" t="inlineStr">
        <is>
          <t>11001110100111111111010101111111</t>
        </is>
      </c>
      <c r="P62" s="16">
        <f>IF(N62=O62,"MATCH","MISMATCH")</f>
        <v/>
      </c>
      <c r="Q62" s="16" t="n">
        <v>40</v>
      </c>
      <c r="R62" s="12">
        <f>IF(Q62&lt;0,"n/a",Q62*Summary!$B$11)</f>
        <v/>
      </c>
      <c r="S62" s="16">
        <f>IF(Q62&lt;0,"NEVER",IF(Q62&lt;=Summary!$B$12,"OK","OVER LIMIT"))</f>
        <v/>
      </c>
      <c r="T62" s="16">
        <f>IF(AND(M62="MATCH",P62="MATCH",S62="OK"),"PASS","FAIL")</f>
        <v/>
      </c>
    </row>
    <row r="63">
      <c r="A63" s="16" t="n">
        <v>1</v>
      </c>
      <c r="B63" s="5" t="inlineStr">
        <is>
          <t>2026-10-22 16:04:25</t>
        </is>
      </c>
      <c r="C63" s="5" t="inlineStr">
        <is>
          <t>input_vectors.hex</t>
        </is>
      </c>
      <c r="D63" s="16" t="n">
        <v>61</v>
      </c>
      <c r="E63" s="16" t="inlineStr">
        <is>
          <t>Mid-stream</t>
        </is>
      </c>
      <c r="F63" s="17" t="inlineStr">
        <is>
          <t>0B1F9163</t>
        </is>
      </c>
      <c r="G63" s="17">
        <f>MID(F63,1,2)</f>
        <v/>
      </c>
      <c r="H63" s="17">
        <f>MID(F63,3,2)</f>
        <v/>
      </c>
      <c r="I63" s="17">
        <f>MID(F63,5,2)</f>
        <v/>
      </c>
      <c r="J63" s="17">
        <f>MID(F63,7,2)</f>
        <v/>
      </c>
      <c r="K63" s="17" t="inlineStr">
        <is>
          <t>0B1F9163</t>
        </is>
      </c>
      <c r="L63" s="17" t="inlineStr">
        <is>
          <t>0B1F9163</t>
        </is>
      </c>
      <c r="M63" s="16">
        <f>IF(K63=L63,"MATCH","MISMATCH")</f>
        <v/>
      </c>
      <c r="N63" s="18" t="inlineStr">
        <is>
          <t>00001011000111111001000101100011</t>
        </is>
      </c>
      <c r="O63" s="18" t="inlineStr">
        <is>
          <t>00001011000111111001000101100011</t>
        </is>
      </c>
      <c r="P63" s="16">
        <f>IF(N63=O63,"MATCH","MISMATCH")</f>
        <v/>
      </c>
      <c r="Q63" s="16" t="n">
        <v>40</v>
      </c>
      <c r="R63" s="12">
        <f>IF(Q63&lt;0,"n/a",Q63*Summary!$B$11)</f>
        <v/>
      </c>
      <c r="S63" s="16">
        <f>IF(Q63&lt;0,"NEVER",IF(Q63&lt;=Summary!$B$12,"OK","OVER LIMIT"))</f>
        <v/>
      </c>
      <c r="T63" s="16">
        <f>IF(AND(M63="MATCH",P63="MATCH",S63="OK"),"PASS","FAIL")</f>
        <v/>
      </c>
    </row>
    <row r="64">
      <c r="A64" s="16" t="n">
        <v>1</v>
      </c>
      <c r="B64" s="5" t="inlineStr">
        <is>
          <t>2026-10-22 16:04:25</t>
        </is>
      </c>
      <c r="C64" s="5" t="inlineStr">
        <is>
          <t>input_vectors.hex</t>
        </is>
      </c>
      <c r="D64" s="16" t="n">
        <v>62</v>
      </c>
      <c r="E64" s="16" t="inlineStr">
        <is>
          <t>Mid-stream</t>
        </is>
      </c>
      <c r="F64" s="17" t="inlineStr">
        <is>
          <t>BACFB3D0</t>
        </is>
      </c>
      <c r="G64" s="17">
        <f>MID(F64,1,2)</f>
        <v/>
      </c>
      <c r="H64" s="17">
        <f>MID(F64,3,2)</f>
        <v/>
      </c>
      <c r="I64" s="17">
        <f>MID(F64,5,2)</f>
        <v/>
      </c>
      <c r="J64" s="17">
        <f>MID(F64,7,2)</f>
        <v/>
      </c>
      <c r="K64" s="17" t="inlineStr">
        <is>
          <t>BACFB3D0</t>
        </is>
      </c>
      <c r="L64" s="17" t="inlineStr">
        <is>
          <t>BACFB3D0</t>
        </is>
      </c>
      <c r="M64" s="16">
        <f>IF(K64=L64,"MATCH","MISMATCH")</f>
        <v/>
      </c>
      <c r="N64" s="18" t="inlineStr">
        <is>
          <t>10111010110011111011001111010000</t>
        </is>
      </c>
      <c r="O64" s="18" t="inlineStr">
        <is>
          <t>10111010110011111011001111010000</t>
        </is>
      </c>
      <c r="P64" s="16">
        <f>IF(N64=O64,"MATCH","MISMATCH")</f>
        <v/>
      </c>
      <c r="Q64" s="16" t="n">
        <v>40</v>
      </c>
      <c r="R64" s="12">
        <f>IF(Q64&lt;0,"n/a",Q64*Summary!$B$11)</f>
        <v/>
      </c>
      <c r="S64" s="16">
        <f>IF(Q64&lt;0,"NEVER",IF(Q64&lt;=Summary!$B$12,"OK","OVER LIMIT"))</f>
        <v/>
      </c>
      <c r="T64" s="16">
        <f>IF(AND(M64="MATCH",P64="MATCH",S64="OK"),"PASS","FAIL")</f>
        <v/>
      </c>
    </row>
    <row r="65">
      <c r="A65" s="16" t="n">
        <v>1</v>
      </c>
      <c r="B65" s="5" t="inlineStr">
        <is>
          <t>2026-10-22 16:04:25</t>
        </is>
      </c>
      <c r="C65" s="5" t="inlineStr">
        <is>
          <t>input_vectors.hex</t>
        </is>
      </c>
      <c r="D65" s="16" t="n">
        <v>63</v>
      </c>
      <c r="E65" s="16" t="inlineStr">
        <is>
          <t>Mid-stream</t>
        </is>
      </c>
      <c r="F65" s="17" t="inlineStr">
        <is>
          <t>759CDE66</t>
        </is>
      </c>
      <c r="G65" s="17">
        <f>MID(F65,1,2)</f>
        <v/>
      </c>
      <c r="H65" s="17">
        <f>MID(F65,3,2)</f>
        <v/>
      </c>
      <c r="I65" s="17">
        <f>MID(F65,5,2)</f>
        <v/>
      </c>
      <c r="J65" s="17">
        <f>MID(F65,7,2)</f>
        <v/>
      </c>
      <c r="K65" s="17" t="inlineStr">
        <is>
          <t>759CDE66</t>
        </is>
      </c>
      <c r="L65" s="17" t="inlineStr">
        <is>
          <t>759CDE66</t>
        </is>
      </c>
      <c r="M65" s="16">
        <f>IF(K65=L65,"MATCH","MISMATCH")</f>
        <v/>
      </c>
      <c r="N65" s="18" t="inlineStr">
        <is>
          <t>01110101100111001101111001100110</t>
        </is>
      </c>
      <c r="O65" s="18" t="inlineStr">
        <is>
          <t>01110101100111001101111001100110</t>
        </is>
      </c>
      <c r="P65" s="16">
        <f>IF(N65=O65,"MATCH","MISMATCH")</f>
        <v/>
      </c>
      <c r="Q65" s="16" t="n">
        <v>40</v>
      </c>
      <c r="R65" s="12">
        <f>IF(Q65&lt;0,"n/a",Q65*Summary!$B$11)</f>
        <v/>
      </c>
      <c r="S65" s="16">
        <f>IF(Q65&lt;0,"NEVER",IF(Q65&lt;=Summary!$B$12,"OK","OVER LIMIT"))</f>
        <v/>
      </c>
      <c r="T65" s="16">
        <f>IF(AND(M65="MATCH",P65="MATCH",S65="OK"),"PASS","FAIL")</f>
        <v/>
      </c>
    </row>
    <row r="66">
      <c r="A66" s="16" t="n">
        <v>1</v>
      </c>
      <c r="B66" s="5" t="inlineStr">
        <is>
          <t>2026-10-22 16:04:25</t>
        </is>
      </c>
      <c r="C66" s="5" t="inlineStr">
        <is>
          <t>input_vectors.hex</t>
        </is>
      </c>
      <c r="D66" s="16" t="n">
        <v>64</v>
      </c>
      <c r="E66" s="16" t="inlineStr">
        <is>
          <t>Mid-stream</t>
        </is>
      </c>
      <c r="F66" s="17" t="inlineStr">
        <is>
          <t>89463E85</t>
        </is>
      </c>
      <c r="G66" s="17">
        <f>MID(F66,1,2)</f>
        <v/>
      </c>
      <c r="H66" s="17">
        <f>MID(F66,3,2)</f>
        <v/>
      </c>
      <c r="I66" s="17">
        <f>MID(F66,5,2)</f>
        <v/>
      </c>
      <c r="J66" s="17">
        <f>MID(F66,7,2)</f>
        <v/>
      </c>
      <c r="K66" s="17" t="inlineStr">
        <is>
          <t>89463E85</t>
        </is>
      </c>
      <c r="L66" s="17" t="inlineStr">
        <is>
          <t>89463E85</t>
        </is>
      </c>
      <c r="M66" s="16">
        <f>IF(K66=L66,"MATCH","MISMATCH")</f>
        <v/>
      </c>
      <c r="N66" s="18" t="inlineStr">
        <is>
          <t>10001001010001100011111010000101</t>
        </is>
      </c>
      <c r="O66" s="18" t="inlineStr">
        <is>
          <t>10001001010001100011111010000101</t>
        </is>
      </c>
      <c r="P66" s="16">
        <f>IF(N66=O66,"MATCH","MISMATCH")</f>
        <v/>
      </c>
      <c r="Q66" s="16" t="n">
        <v>40</v>
      </c>
      <c r="R66" s="12">
        <f>IF(Q66&lt;0,"n/a",Q66*Summary!$B$11)</f>
        <v/>
      </c>
      <c r="S66" s="16">
        <f>IF(Q66&lt;0,"NEVER",IF(Q66&lt;=Summary!$B$12,"OK","OVER LIMIT"))</f>
        <v/>
      </c>
      <c r="T66" s="16">
        <f>IF(AND(M66="MATCH",P66="MATCH",S66="OK"),"PASS","FAIL")</f>
        <v/>
      </c>
    </row>
    <row r="67">
      <c r="A67" s="16" t="n">
        <v>1</v>
      </c>
      <c r="B67" s="5" t="inlineStr">
        <is>
          <t>2026-10-22 16:04:25</t>
        </is>
      </c>
      <c r="C67" s="5" t="inlineStr">
        <is>
          <t>input_vectors.hex</t>
        </is>
      </c>
      <c r="D67" s="16" t="n">
        <v>65</v>
      </c>
      <c r="E67" s="16" t="inlineStr">
        <is>
          <t>Mid-stream</t>
        </is>
      </c>
      <c r="F67" s="17" t="inlineStr">
        <is>
          <t>1FF49B78</t>
        </is>
      </c>
      <c r="G67" s="17">
        <f>MID(F67,1,2)</f>
        <v/>
      </c>
      <c r="H67" s="17">
        <f>MID(F67,3,2)</f>
        <v/>
      </c>
      <c r="I67" s="17">
        <f>MID(F67,5,2)</f>
        <v/>
      </c>
      <c r="J67" s="17">
        <f>MID(F67,7,2)</f>
        <v/>
      </c>
      <c r="K67" s="17" t="inlineStr">
        <is>
          <t>1FF49B78</t>
        </is>
      </c>
      <c r="L67" s="17" t="inlineStr">
        <is>
          <t>1FF49B78</t>
        </is>
      </c>
      <c r="M67" s="16">
        <f>IF(K67=L67,"MATCH","MISMATCH")</f>
        <v/>
      </c>
      <c r="N67" s="18" t="inlineStr">
        <is>
          <t>00011111111101001001101101111000</t>
        </is>
      </c>
      <c r="O67" s="18" t="inlineStr">
        <is>
          <t>00011111111101001001101101111000</t>
        </is>
      </c>
      <c r="P67" s="16">
        <f>IF(N67=O67,"MATCH","MISMATCH")</f>
        <v/>
      </c>
      <c r="Q67" s="16" t="n">
        <v>40</v>
      </c>
      <c r="R67" s="12">
        <f>IF(Q67&lt;0,"n/a",Q67*Summary!$B$11)</f>
        <v/>
      </c>
      <c r="S67" s="16">
        <f>IF(Q67&lt;0,"NEVER",IF(Q67&lt;=Summary!$B$12,"OK","OVER LIMIT"))</f>
        <v/>
      </c>
      <c r="T67" s="16">
        <f>IF(AND(M67="MATCH",P67="MATCH",S67="OK"),"PASS","FAIL")</f>
        <v/>
      </c>
    </row>
    <row r="68">
      <c r="A68" s="16" t="n">
        <v>1</v>
      </c>
      <c r="B68" s="5" t="inlineStr">
        <is>
          <t>2026-10-22 16:04:25</t>
        </is>
      </c>
      <c r="C68" s="5" t="inlineStr">
        <is>
          <t>input_vectors.hex</t>
        </is>
      </c>
      <c r="D68" s="16" t="n">
        <v>66</v>
      </c>
      <c r="E68" s="16" t="inlineStr">
        <is>
          <t>Mid-stream</t>
        </is>
      </c>
      <c r="F68" s="17" t="inlineStr">
        <is>
          <t>F91E1D4C</t>
        </is>
      </c>
      <c r="G68" s="17">
        <f>MID(F68,1,2)</f>
        <v/>
      </c>
      <c r="H68" s="17">
        <f>MID(F68,3,2)</f>
        <v/>
      </c>
      <c r="I68" s="17">
        <f>MID(F68,5,2)</f>
        <v/>
      </c>
      <c r="J68" s="17">
        <f>MID(F68,7,2)</f>
        <v/>
      </c>
      <c r="K68" s="17" t="inlineStr">
        <is>
          <t>F91E1D4C</t>
        </is>
      </c>
      <c r="L68" s="17" t="inlineStr">
        <is>
          <t>F91E1D4C</t>
        </is>
      </c>
      <c r="M68" s="16">
        <f>IF(K68=L68,"MATCH","MISMATCH")</f>
        <v/>
      </c>
      <c r="N68" s="18" t="inlineStr">
        <is>
          <t>11111001000111100001110101001100</t>
        </is>
      </c>
      <c r="O68" s="18" t="inlineStr">
        <is>
          <t>11111001000111100001110101001100</t>
        </is>
      </c>
      <c r="P68" s="16">
        <f>IF(N68=O68,"MATCH","MISMATCH")</f>
        <v/>
      </c>
      <c r="Q68" s="16" t="n">
        <v>40</v>
      </c>
      <c r="R68" s="12">
        <f>IF(Q68&lt;0,"n/a",Q68*Summary!$B$11)</f>
        <v/>
      </c>
      <c r="S68" s="16">
        <f>IF(Q68&lt;0,"NEVER",IF(Q68&lt;=Summary!$B$12,"OK","OVER LIMIT"))</f>
        <v/>
      </c>
      <c r="T68" s="16">
        <f>IF(AND(M68="MATCH",P68="MATCH",S68="OK"),"PASS","FAIL")</f>
        <v/>
      </c>
    </row>
    <row r="69">
      <c r="A69" s="16" t="n">
        <v>1</v>
      </c>
      <c r="B69" s="5" t="inlineStr">
        <is>
          <t>2026-10-22 16:04:25</t>
        </is>
      </c>
      <c r="C69" s="5" t="inlineStr">
        <is>
          <t>input_vectors.hex</t>
        </is>
      </c>
      <c r="D69" s="16" t="n">
        <v>67</v>
      </c>
      <c r="E69" s="16" t="inlineStr">
        <is>
          <t>Mid-stream</t>
        </is>
      </c>
      <c r="F69" s="17" t="inlineStr">
        <is>
          <t>EC1B8CA1</t>
        </is>
      </c>
      <c r="G69" s="17">
        <f>MID(F69,1,2)</f>
        <v/>
      </c>
      <c r="H69" s="17">
        <f>MID(F69,3,2)</f>
        <v/>
      </c>
      <c r="I69" s="17">
        <f>MID(F69,5,2)</f>
        <v/>
      </c>
      <c r="J69" s="17">
        <f>MID(F69,7,2)</f>
        <v/>
      </c>
      <c r="K69" s="17" t="inlineStr">
        <is>
          <t>EC1B8CA1</t>
        </is>
      </c>
      <c r="L69" s="17" t="inlineStr">
        <is>
          <t>EC1B8CA1</t>
        </is>
      </c>
      <c r="M69" s="16">
        <f>IF(K69=L69,"MATCH","MISMATCH")</f>
        <v/>
      </c>
      <c r="N69" s="18" t="inlineStr">
        <is>
          <t>11101100000110111000110010100001</t>
        </is>
      </c>
      <c r="O69" s="18" t="inlineStr">
        <is>
          <t>11101100000110111000110010100001</t>
        </is>
      </c>
      <c r="P69" s="16">
        <f>IF(N69=O69,"MATCH","MISMATCH")</f>
        <v/>
      </c>
      <c r="Q69" s="16" t="n">
        <v>40</v>
      </c>
      <c r="R69" s="12">
        <f>IF(Q69&lt;0,"n/a",Q69*Summary!$B$11)</f>
        <v/>
      </c>
      <c r="S69" s="16">
        <f>IF(Q69&lt;0,"NEVER",IF(Q69&lt;=Summary!$B$12,"OK","OVER LIMIT"))</f>
        <v/>
      </c>
      <c r="T69" s="16">
        <f>IF(AND(M69="MATCH",P69="MATCH",S69="OK"),"PASS","FAIL")</f>
        <v/>
      </c>
    </row>
    <row r="70">
      <c r="A70" s="16" t="n">
        <v>1</v>
      </c>
      <c r="B70" s="5" t="inlineStr">
        <is>
          <t>2026-10-22 16:04:25</t>
        </is>
      </c>
      <c r="C70" s="5" t="inlineStr">
        <is>
          <t>input_vectors.hex</t>
        </is>
      </c>
      <c r="D70" s="16" t="n">
        <v>68</v>
      </c>
      <c r="E70" s="16" t="inlineStr">
        <is>
          <t>Mid-stream</t>
        </is>
      </c>
      <c r="F70" s="17" t="inlineStr">
        <is>
          <t>60E7A113</t>
        </is>
      </c>
      <c r="G70" s="17">
        <f>MID(F70,1,2)</f>
        <v/>
      </c>
      <c r="H70" s="17">
        <f>MID(F70,3,2)</f>
        <v/>
      </c>
      <c r="I70" s="17">
        <f>MID(F70,5,2)</f>
        <v/>
      </c>
      <c r="J70" s="17">
        <f>MID(F70,7,2)</f>
        <v/>
      </c>
      <c r="K70" s="17" t="inlineStr">
        <is>
          <t>60E7A113</t>
        </is>
      </c>
      <c r="L70" s="17" t="inlineStr">
        <is>
          <t>60E7A113</t>
        </is>
      </c>
      <c r="M70" s="16">
        <f>IF(K70=L70,"MATCH","MISMATCH")</f>
        <v/>
      </c>
      <c r="N70" s="18" t="inlineStr">
        <is>
          <t>01100000111001111010000100010011</t>
        </is>
      </c>
      <c r="O70" s="18" t="inlineStr">
        <is>
          <t>01100000111001111010000100010011</t>
        </is>
      </c>
      <c r="P70" s="16">
        <f>IF(N70=O70,"MATCH","MISMATCH")</f>
        <v/>
      </c>
      <c r="Q70" s="16" t="n">
        <v>40</v>
      </c>
      <c r="R70" s="12">
        <f>IF(Q70&lt;0,"n/a",Q70*Summary!$B$11)</f>
        <v/>
      </c>
      <c r="S70" s="16">
        <f>IF(Q70&lt;0,"NEVER",IF(Q70&lt;=Summary!$B$12,"OK","OVER LIMIT"))</f>
        <v/>
      </c>
      <c r="T70" s="16">
        <f>IF(AND(M70="MATCH",P70="MATCH",S70="OK"),"PASS","FAIL")</f>
        <v/>
      </c>
    </row>
    <row r="71">
      <c r="A71" s="16" t="n">
        <v>1</v>
      </c>
      <c r="B71" s="5" t="inlineStr">
        <is>
          <t>2026-10-22 16:04:25</t>
        </is>
      </c>
      <c r="C71" s="5" t="inlineStr">
        <is>
          <t>input_vectors.hex</t>
        </is>
      </c>
      <c r="D71" s="16" t="n">
        <v>69</v>
      </c>
      <c r="E71" s="16" t="inlineStr">
        <is>
          <t>Mid-stream</t>
        </is>
      </c>
      <c r="F71" s="17" t="inlineStr">
        <is>
          <t>142C3FE8</t>
        </is>
      </c>
      <c r="G71" s="17">
        <f>MID(F71,1,2)</f>
        <v/>
      </c>
      <c r="H71" s="17">
        <f>MID(F71,3,2)</f>
        <v/>
      </c>
      <c r="I71" s="17">
        <f>MID(F71,5,2)</f>
        <v/>
      </c>
      <c r="J71" s="17">
        <f>MID(F71,7,2)</f>
        <v/>
      </c>
      <c r="K71" s="17" t="inlineStr">
        <is>
          <t>142C3FE8</t>
        </is>
      </c>
      <c r="L71" s="17" t="inlineStr">
        <is>
          <t>142C3FE8</t>
        </is>
      </c>
      <c r="M71" s="16">
        <f>IF(K71=L71,"MATCH","MISMATCH")</f>
        <v/>
      </c>
      <c r="N71" s="18" t="inlineStr">
        <is>
          <t>00010100001011000011111111101000</t>
        </is>
      </c>
      <c r="O71" s="18" t="inlineStr">
        <is>
          <t>00010100001011000011111111101000</t>
        </is>
      </c>
      <c r="P71" s="16">
        <f>IF(N71=O71,"MATCH","MISMATCH")</f>
        <v/>
      </c>
      <c r="Q71" s="16" t="n">
        <v>40</v>
      </c>
      <c r="R71" s="12">
        <f>IF(Q71&lt;0,"n/a",Q71*Summary!$B$11)</f>
        <v/>
      </c>
      <c r="S71" s="16">
        <f>IF(Q71&lt;0,"NEVER",IF(Q71&lt;=Summary!$B$12,"OK","OVER LIMIT"))</f>
        <v/>
      </c>
      <c r="T71" s="16">
        <f>IF(AND(M71="MATCH",P71="MATCH",S71="OK"),"PASS","FAIL")</f>
        <v/>
      </c>
    </row>
    <row r="72">
      <c r="A72" s="16" t="n">
        <v>1</v>
      </c>
      <c r="B72" s="5" t="inlineStr">
        <is>
          <t>2026-10-22 16:04:25</t>
        </is>
      </c>
      <c r="C72" s="5" t="inlineStr">
        <is>
          <t>input_vectors.hex</t>
        </is>
      </c>
      <c r="D72" s="16" t="n">
        <v>70</v>
      </c>
      <c r="E72" s="16" t="inlineStr">
        <is>
          <t>Mid-stream</t>
        </is>
      </c>
      <c r="F72" s="17" t="inlineStr">
        <is>
          <t>8D5288F1</t>
        </is>
      </c>
      <c r="G72" s="17">
        <f>MID(F72,1,2)</f>
        <v/>
      </c>
      <c r="H72" s="17">
        <f>MID(F72,3,2)</f>
        <v/>
      </c>
      <c r="I72" s="17">
        <f>MID(F72,5,2)</f>
        <v/>
      </c>
      <c r="J72" s="17">
        <f>MID(F72,7,2)</f>
        <v/>
      </c>
      <c r="K72" s="17" t="inlineStr">
        <is>
          <t>8D5288F1</t>
        </is>
      </c>
      <c r="L72" s="17" t="inlineStr">
        <is>
          <t>8D5288F1</t>
        </is>
      </c>
      <c r="M72" s="16">
        <f>IF(K72=L72,"MATCH","MISMATCH")</f>
        <v/>
      </c>
      <c r="N72" s="18" t="inlineStr">
        <is>
          <t>10001101010100101000100011110001</t>
        </is>
      </c>
      <c r="O72" s="18" t="inlineStr">
        <is>
          <t>10001101010100101000100011110001</t>
        </is>
      </c>
      <c r="P72" s="16">
        <f>IF(N72=O72,"MATCH","MISMATCH")</f>
        <v/>
      </c>
      <c r="Q72" s="16" t="n">
        <v>40</v>
      </c>
      <c r="R72" s="12">
        <f>IF(Q72&lt;0,"n/a",Q72*Summary!$B$11)</f>
        <v/>
      </c>
      <c r="S72" s="16">
        <f>IF(Q72&lt;0,"NEVER",IF(Q72&lt;=Summary!$B$12,"OK","OVER LIMIT"))</f>
        <v/>
      </c>
      <c r="T72" s="16">
        <f>IF(AND(M72="MATCH",P72="MATCH",S72="OK"),"PASS","FAIL")</f>
        <v/>
      </c>
    </row>
    <row r="73">
      <c r="A73" s="16" t="n">
        <v>1</v>
      </c>
      <c r="B73" s="5" t="inlineStr">
        <is>
          <t>2026-10-22 16:04:25</t>
        </is>
      </c>
      <c r="C73" s="5" t="inlineStr">
        <is>
          <t>input_vectors.hex</t>
        </is>
      </c>
      <c r="D73" s="16" t="n">
        <v>71</v>
      </c>
      <c r="E73" s="16" t="inlineStr">
        <is>
          <t>Mid-stream</t>
        </is>
      </c>
      <c r="F73" s="17" t="inlineStr">
        <is>
          <t>4B0DBB41</t>
        </is>
      </c>
      <c r="G73" s="17">
        <f>MID(F73,1,2)</f>
        <v/>
      </c>
      <c r="H73" s="17">
        <f>MID(F73,3,2)</f>
        <v/>
      </c>
      <c r="I73" s="17">
        <f>MID(F73,5,2)</f>
        <v/>
      </c>
      <c r="J73" s="17">
        <f>MID(F73,7,2)</f>
        <v/>
      </c>
      <c r="K73" s="17" t="inlineStr">
        <is>
          <t>4B0DBB41</t>
        </is>
      </c>
      <c r="L73" s="17" t="inlineStr">
        <is>
          <t>4B0DBB41</t>
        </is>
      </c>
      <c r="M73" s="16">
        <f>IF(K73=L73,"MATCH","MISMATCH")</f>
        <v/>
      </c>
      <c r="N73" s="18" t="inlineStr">
        <is>
          <t>01001011000011011011101101000001</t>
        </is>
      </c>
      <c r="O73" s="18" t="inlineStr">
        <is>
          <t>01001011000011011011101101000001</t>
        </is>
      </c>
      <c r="P73" s="16">
        <f>IF(N73=O73,"MATCH","MISMATCH")</f>
        <v/>
      </c>
      <c r="Q73" s="16" t="n">
        <v>40</v>
      </c>
      <c r="R73" s="12">
        <f>IF(Q73&lt;0,"n/a",Q73*Summary!$B$11)</f>
        <v/>
      </c>
      <c r="S73" s="16">
        <f>IF(Q73&lt;0,"NEVER",IF(Q73&lt;=Summary!$B$12,"OK","OVER LIMIT"))</f>
        <v/>
      </c>
      <c r="T73" s="16">
        <f>IF(AND(M73="MATCH",P73="MATCH",S73="OK"),"PASS","FAIL")</f>
        <v/>
      </c>
    </row>
    <row r="74">
      <c r="A74" s="16" t="n">
        <v>1</v>
      </c>
      <c r="B74" s="5" t="inlineStr">
        <is>
          <t>2026-10-22 16:04:25</t>
        </is>
      </c>
      <c r="C74" s="5" t="inlineStr">
        <is>
          <t>input_vectors.hex</t>
        </is>
      </c>
      <c r="D74" s="16" t="n">
        <v>72</v>
      </c>
      <c r="E74" s="16" t="inlineStr">
        <is>
          <t>Mid-stream</t>
        </is>
      </c>
      <c r="F74" s="17" t="inlineStr">
        <is>
          <t>D453DD32</t>
        </is>
      </c>
      <c r="G74" s="17">
        <f>MID(F74,1,2)</f>
        <v/>
      </c>
      <c r="H74" s="17">
        <f>MID(F74,3,2)</f>
        <v/>
      </c>
      <c r="I74" s="17">
        <f>MID(F74,5,2)</f>
        <v/>
      </c>
      <c r="J74" s="17">
        <f>MID(F74,7,2)</f>
        <v/>
      </c>
      <c r="K74" s="17" t="inlineStr">
        <is>
          <t>D453DD32</t>
        </is>
      </c>
      <c r="L74" s="17" t="inlineStr">
        <is>
          <t>D453DD32</t>
        </is>
      </c>
      <c r="M74" s="16">
        <f>IF(K74=L74,"MATCH","MISMATCH")</f>
        <v/>
      </c>
      <c r="N74" s="18" t="inlineStr">
        <is>
          <t>11010100010100111101110100110010</t>
        </is>
      </c>
      <c r="O74" s="18" t="inlineStr">
        <is>
          <t>11010100010100111101110100110010</t>
        </is>
      </c>
      <c r="P74" s="16">
        <f>IF(N74=O74,"MATCH","MISMATCH")</f>
        <v/>
      </c>
      <c r="Q74" s="16" t="n">
        <v>40</v>
      </c>
      <c r="R74" s="12">
        <f>IF(Q74&lt;0,"n/a",Q74*Summary!$B$11)</f>
        <v/>
      </c>
      <c r="S74" s="16">
        <f>IF(Q74&lt;0,"NEVER",IF(Q74&lt;=Summary!$B$12,"OK","OVER LIMIT"))</f>
        <v/>
      </c>
      <c r="T74" s="16">
        <f>IF(AND(M74="MATCH",P74="MATCH",S74="OK"),"PASS","FAIL")</f>
        <v/>
      </c>
    </row>
    <row r="75">
      <c r="A75" s="16" t="n">
        <v>1</v>
      </c>
      <c r="B75" s="5" t="inlineStr">
        <is>
          <t>2026-10-22 16:04:25</t>
        </is>
      </c>
      <c r="C75" s="5" t="inlineStr">
        <is>
          <t>input_vectors.hex</t>
        </is>
      </c>
      <c r="D75" s="16" t="n">
        <v>73</v>
      </c>
      <c r="E75" s="16" t="inlineStr">
        <is>
          <t>Mid-stream</t>
        </is>
      </c>
      <c r="F75" s="17" t="inlineStr">
        <is>
          <t>A0EE89AE</t>
        </is>
      </c>
      <c r="G75" s="17">
        <f>MID(F75,1,2)</f>
        <v/>
      </c>
      <c r="H75" s="17">
        <f>MID(F75,3,2)</f>
        <v/>
      </c>
      <c r="I75" s="17">
        <f>MID(F75,5,2)</f>
        <v/>
      </c>
      <c r="J75" s="17">
        <f>MID(F75,7,2)</f>
        <v/>
      </c>
      <c r="K75" s="17" t="inlineStr">
        <is>
          <t>A0EE89AE</t>
        </is>
      </c>
      <c r="L75" s="17" t="inlineStr">
        <is>
          <t>A0EE89AE</t>
        </is>
      </c>
      <c r="M75" s="16">
        <f>IF(K75=L75,"MATCH","MISMATCH")</f>
        <v/>
      </c>
      <c r="N75" s="18" t="inlineStr">
        <is>
          <t>10100000111011101000100110101110</t>
        </is>
      </c>
      <c r="O75" s="18" t="inlineStr">
        <is>
          <t>10100000111011101000100110101110</t>
        </is>
      </c>
      <c r="P75" s="16">
        <f>IF(N75=O75,"MATCH","MISMATCH")</f>
        <v/>
      </c>
      <c r="Q75" s="16" t="n">
        <v>40</v>
      </c>
      <c r="R75" s="12">
        <f>IF(Q75&lt;0,"n/a",Q75*Summary!$B$11)</f>
        <v/>
      </c>
      <c r="S75" s="16">
        <f>IF(Q75&lt;0,"NEVER",IF(Q75&lt;=Summary!$B$12,"OK","OVER LIMIT"))</f>
        <v/>
      </c>
      <c r="T75" s="16">
        <f>IF(AND(M75="MATCH",P75="MATCH",S75="OK"),"PASS","FAIL")</f>
        <v/>
      </c>
    </row>
    <row r="76">
      <c r="A76" s="16" t="n">
        <v>1</v>
      </c>
      <c r="B76" s="5" t="inlineStr">
        <is>
          <t>2026-10-22 16:04:25</t>
        </is>
      </c>
      <c r="C76" s="5" t="inlineStr">
        <is>
          <t>input_vectors.hex</t>
        </is>
      </c>
      <c r="D76" s="16" t="n">
        <v>74</v>
      </c>
      <c r="E76" s="16" t="inlineStr">
        <is>
          <t>Mid-stream</t>
        </is>
      </c>
      <c r="F76" s="17" t="inlineStr">
        <is>
          <t>9E574F7A</t>
        </is>
      </c>
      <c r="G76" s="17">
        <f>MID(F76,1,2)</f>
        <v/>
      </c>
      <c r="H76" s="17">
        <f>MID(F76,3,2)</f>
        <v/>
      </c>
      <c r="I76" s="17">
        <f>MID(F76,5,2)</f>
        <v/>
      </c>
      <c r="J76" s="17">
        <f>MID(F76,7,2)</f>
        <v/>
      </c>
      <c r="K76" s="17" t="inlineStr">
        <is>
          <t>9E574F7A</t>
        </is>
      </c>
      <c r="L76" s="17" t="inlineStr">
        <is>
          <t>9E574F7A</t>
        </is>
      </c>
      <c r="M76" s="16">
        <f>IF(K76=L76,"MATCH","MISMATCH")</f>
        <v/>
      </c>
      <c r="N76" s="18" t="inlineStr">
        <is>
          <t>10011110010101110100111101111010</t>
        </is>
      </c>
      <c r="O76" s="18" t="inlineStr">
        <is>
          <t>10011110010101110100111101111010</t>
        </is>
      </c>
      <c r="P76" s="16">
        <f>IF(N76=O76,"MATCH","MISMATCH")</f>
        <v/>
      </c>
      <c r="Q76" s="16" t="n">
        <v>40</v>
      </c>
      <c r="R76" s="12">
        <f>IF(Q76&lt;0,"n/a",Q76*Summary!$B$11)</f>
        <v/>
      </c>
      <c r="S76" s="16">
        <f>IF(Q76&lt;0,"NEVER",IF(Q76&lt;=Summary!$B$12,"OK","OVER LIMIT"))</f>
        <v/>
      </c>
      <c r="T76" s="16">
        <f>IF(AND(M76="MATCH",P76="MATCH",S76="OK"),"PASS","FAIL")</f>
        <v/>
      </c>
    </row>
    <row r="77">
      <c r="A77" s="16" t="n">
        <v>1</v>
      </c>
      <c r="B77" s="5" t="inlineStr">
        <is>
          <t>2026-10-22 16:04:25</t>
        </is>
      </c>
      <c r="C77" s="5" t="inlineStr">
        <is>
          <t>input_vectors.hex</t>
        </is>
      </c>
      <c r="D77" s="16" t="n">
        <v>75</v>
      </c>
      <c r="E77" s="16" t="inlineStr">
        <is>
          <t>Mid-stream</t>
        </is>
      </c>
      <c r="F77" s="17" t="inlineStr">
        <is>
          <t>E2ACF72F</t>
        </is>
      </c>
      <c r="G77" s="17">
        <f>MID(F77,1,2)</f>
        <v/>
      </c>
      <c r="H77" s="17">
        <f>MID(F77,3,2)</f>
        <v/>
      </c>
      <c r="I77" s="17">
        <f>MID(F77,5,2)</f>
        <v/>
      </c>
      <c r="J77" s="17">
        <f>MID(F77,7,2)</f>
        <v/>
      </c>
      <c r="K77" s="17" t="inlineStr">
        <is>
          <t>E2ACF72F</t>
        </is>
      </c>
      <c r="L77" s="17" t="inlineStr">
        <is>
          <t>E2ACF72F</t>
        </is>
      </c>
      <c r="M77" s="16">
        <f>IF(K77=L77,"MATCH","MISMATCH")</f>
        <v/>
      </c>
      <c r="N77" s="18" t="inlineStr">
        <is>
          <t>11100010101011001111011100101111</t>
        </is>
      </c>
      <c r="O77" s="18" t="inlineStr">
        <is>
          <t>11100010101011001111011100101111</t>
        </is>
      </c>
      <c r="P77" s="16">
        <f>IF(N77=O77,"MATCH","MISMATCH")</f>
        <v/>
      </c>
      <c r="Q77" s="16" t="n">
        <v>40</v>
      </c>
      <c r="R77" s="12">
        <f>IF(Q77&lt;0,"n/a",Q77*Summary!$B$11)</f>
        <v/>
      </c>
      <c r="S77" s="16">
        <f>IF(Q77&lt;0,"NEVER",IF(Q77&lt;=Summary!$B$12,"OK","OVER LIMIT"))</f>
        <v/>
      </c>
      <c r="T77" s="16">
        <f>IF(AND(M77="MATCH",P77="MATCH",S77="OK"),"PASS","FAIL")</f>
        <v/>
      </c>
    </row>
    <row r="78">
      <c r="A78" s="16" t="n">
        <v>1</v>
      </c>
      <c r="B78" s="5" t="inlineStr">
        <is>
          <t>2026-10-22 16:04:25</t>
        </is>
      </c>
      <c r="C78" s="5" t="inlineStr">
        <is>
          <t>input_vectors.hex</t>
        </is>
      </c>
      <c r="D78" s="16" t="n">
        <v>76</v>
      </c>
      <c r="E78" s="16" t="inlineStr">
        <is>
          <t>Mid-stream</t>
        </is>
      </c>
      <c r="F78" s="17" t="inlineStr">
        <is>
          <t>DC98D2C1</t>
        </is>
      </c>
      <c r="G78" s="17">
        <f>MID(F78,1,2)</f>
        <v/>
      </c>
      <c r="H78" s="17">
        <f>MID(F78,3,2)</f>
        <v/>
      </c>
      <c r="I78" s="17">
        <f>MID(F78,5,2)</f>
        <v/>
      </c>
      <c r="J78" s="17">
        <f>MID(F78,7,2)</f>
        <v/>
      </c>
      <c r="K78" s="17" t="inlineStr">
        <is>
          <t>DC98D2C1</t>
        </is>
      </c>
      <c r="L78" s="17" t="inlineStr">
        <is>
          <t>DC98D2C1</t>
        </is>
      </c>
      <c r="M78" s="16">
        <f>IF(K78=L78,"MATCH","MISMATCH")</f>
        <v/>
      </c>
      <c r="N78" s="18" t="inlineStr">
        <is>
          <t>11011100100110001101001011000001</t>
        </is>
      </c>
      <c r="O78" s="18" t="inlineStr">
        <is>
          <t>11011100100110001101001011000001</t>
        </is>
      </c>
      <c r="P78" s="16">
        <f>IF(N78=O78,"MATCH","MISMATCH")</f>
        <v/>
      </c>
      <c r="Q78" s="16" t="n">
        <v>40</v>
      </c>
      <c r="R78" s="12">
        <f>IF(Q78&lt;0,"n/a",Q78*Summary!$B$11)</f>
        <v/>
      </c>
      <c r="S78" s="16">
        <f>IF(Q78&lt;0,"NEVER",IF(Q78&lt;=Summary!$B$12,"OK","OVER LIMIT"))</f>
        <v/>
      </c>
      <c r="T78" s="16">
        <f>IF(AND(M78="MATCH",P78="MATCH",S78="OK"),"PASS","FAIL")</f>
        <v/>
      </c>
    </row>
    <row r="79">
      <c r="A79" s="16" t="n">
        <v>1</v>
      </c>
      <c r="B79" s="5" t="inlineStr">
        <is>
          <t>2026-10-22 16:04:25</t>
        </is>
      </c>
      <c r="C79" s="5" t="inlineStr">
        <is>
          <t>input_vectors.hex</t>
        </is>
      </c>
      <c r="D79" s="16" t="n">
        <v>77</v>
      </c>
      <c r="E79" s="16" t="inlineStr">
        <is>
          <t>Mid-stream</t>
        </is>
      </c>
      <c r="F79" s="17" t="inlineStr">
        <is>
          <t>5C941CF0</t>
        </is>
      </c>
      <c r="G79" s="17">
        <f>MID(F79,1,2)</f>
        <v/>
      </c>
      <c r="H79" s="17">
        <f>MID(F79,3,2)</f>
        <v/>
      </c>
      <c r="I79" s="17">
        <f>MID(F79,5,2)</f>
        <v/>
      </c>
      <c r="J79" s="17">
        <f>MID(F79,7,2)</f>
        <v/>
      </c>
      <c r="K79" s="17" t="inlineStr">
        <is>
          <t>5C941CF0</t>
        </is>
      </c>
      <c r="L79" s="17" t="inlineStr">
        <is>
          <t>5C941CF0</t>
        </is>
      </c>
      <c r="M79" s="16">
        <f>IF(K79=L79,"MATCH","MISMATCH")</f>
        <v/>
      </c>
      <c r="N79" s="18" t="inlineStr">
        <is>
          <t>01011100100101000001110011110000</t>
        </is>
      </c>
      <c r="O79" s="18" t="inlineStr">
        <is>
          <t>01011100100101000001110011110000</t>
        </is>
      </c>
      <c r="P79" s="16">
        <f>IF(N79=O79,"MATCH","MISMATCH")</f>
        <v/>
      </c>
      <c r="Q79" s="16" t="n">
        <v>40</v>
      </c>
      <c r="R79" s="12">
        <f>IF(Q79&lt;0,"n/a",Q79*Summary!$B$11)</f>
        <v/>
      </c>
      <c r="S79" s="16">
        <f>IF(Q79&lt;0,"NEVER",IF(Q79&lt;=Summary!$B$12,"OK","OVER LIMIT"))</f>
        <v/>
      </c>
      <c r="T79" s="16">
        <f>IF(AND(M79="MATCH",P79="MATCH",S79="OK"),"PASS","FAIL")</f>
        <v/>
      </c>
    </row>
    <row r="80">
      <c r="A80" s="16" t="n">
        <v>1</v>
      </c>
      <c r="B80" s="5" t="inlineStr">
        <is>
          <t>2026-10-22 16:04:25</t>
        </is>
      </c>
      <c r="C80" s="5" t="inlineStr">
        <is>
          <t>input_vectors.hex</t>
        </is>
      </c>
      <c r="D80" s="16" t="n">
        <v>78</v>
      </c>
      <c r="E80" s="16" t="inlineStr">
        <is>
          <t>Mid-stream</t>
        </is>
      </c>
      <c r="F80" s="17" t="inlineStr">
        <is>
          <t>93CD59BF</t>
        </is>
      </c>
      <c r="G80" s="17">
        <f>MID(F80,1,2)</f>
        <v/>
      </c>
      <c r="H80" s="17">
        <f>MID(F80,3,2)</f>
        <v/>
      </c>
      <c r="I80" s="17">
        <f>MID(F80,5,2)</f>
        <v/>
      </c>
      <c r="J80" s="17">
        <f>MID(F80,7,2)</f>
        <v/>
      </c>
      <c r="K80" s="17" t="inlineStr">
        <is>
          <t>93CD59BF</t>
        </is>
      </c>
      <c r="L80" s="17" t="inlineStr">
        <is>
          <t>93CD59BF</t>
        </is>
      </c>
      <c r="M80" s="16">
        <f>IF(K80=L80,"MATCH","MISMATCH")</f>
        <v/>
      </c>
      <c r="N80" s="18" t="inlineStr">
        <is>
          <t>10010011110011010101100110111111</t>
        </is>
      </c>
      <c r="O80" s="18" t="inlineStr">
        <is>
          <t>10010011110011010101100110111111</t>
        </is>
      </c>
      <c r="P80" s="16">
        <f>IF(N80=O80,"MATCH","MISMATCH")</f>
        <v/>
      </c>
      <c r="Q80" s="16" t="n">
        <v>40</v>
      </c>
      <c r="R80" s="12">
        <f>IF(Q80&lt;0,"n/a",Q80*Summary!$B$11)</f>
        <v/>
      </c>
      <c r="S80" s="16">
        <f>IF(Q80&lt;0,"NEVER",IF(Q80&lt;=Summary!$B$12,"OK","OVER LIMIT"))</f>
        <v/>
      </c>
      <c r="T80" s="16">
        <f>IF(AND(M80="MATCH",P80="MATCH",S80="OK"),"PASS","FAIL")</f>
        <v/>
      </c>
    </row>
    <row r="81">
      <c r="A81" s="16" t="n">
        <v>1</v>
      </c>
      <c r="B81" s="5" t="inlineStr">
        <is>
          <t>2026-10-22 16:04:25</t>
        </is>
      </c>
      <c r="C81" s="5" t="inlineStr">
        <is>
          <t>input_vectors.hex</t>
        </is>
      </c>
      <c r="D81" s="16" t="n">
        <v>79</v>
      </c>
      <c r="E81" s="16" t="inlineStr">
        <is>
          <t>Mid-stream</t>
        </is>
      </c>
      <c r="F81" s="17" t="inlineStr">
        <is>
          <t>3139D32C</t>
        </is>
      </c>
      <c r="G81" s="17">
        <f>MID(F81,1,2)</f>
        <v/>
      </c>
      <c r="H81" s="17">
        <f>MID(F81,3,2)</f>
        <v/>
      </c>
      <c r="I81" s="17">
        <f>MID(F81,5,2)</f>
        <v/>
      </c>
      <c r="J81" s="17">
        <f>MID(F81,7,2)</f>
        <v/>
      </c>
      <c r="K81" s="17" t="inlineStr">
        <is>
          <t>3139D32C</t>
        </is>
      </c>
      <c r="L81" s="17" t="inlineStr">
        <is>
          <t>3139D32C</t>
        </is>
      </c>
      <c r="M81" s="16">
        <f>IF(K81=L81,"MATCH","MISMATCH")</f>
        <v/>
      </c>
      <c r="N81" s="18" t="inlineStr">
        <is>
          <t>00110001001110011101001100101100</t>
        </is>
      </c>
      <c r="O81" s="18" t="inlineStr">
        <is>
          <t>00110001001110011101001100101100</t>
        </is>
      </c>
      <c r="P81" s="16">
        <f>IF(N81=O81,"MATCH","MISMATCH")</f>
        <v/>
      </c>
      <c r="Q81" s="16" t="n">
        <v>40</v>
      </c>
      <c r="R81" s="12">
        <f>IF(Q81&lt;0,"n/a",Q81*Summary!$B$11)</f>
        <v/>
      </c>
      <c r="S81" s="16">
        <f>IF(Q81&lt;0,"NEVER",IF(Q81&lt;=Summary!$B$12,"OK","OVER LIMIT"))</f>
        <v/>
      </c>
      <c r="T81" s="16">
        <f>IF(AND(M81="MATCH",P81="MATCH",S81="OK"),"PASS","FAIL")</f>
        <v/>
      </c>
    </row>
    <row r="82">
      <c r="A82" s="16" t="n">
        <v>1</v>
      </c>
      <c r="B82" s="5" t="inlineStr">
        <is>
          <t>2026-10-22 16:04:25</t>
        </is>
      </c>
      <c r="C82" s="5" t="inlineStr">
        <is>
          <t>input_vectors.hex</t>
        </is>
      </c>
      <c r="D82" s="16" t="n">
        <v>80</v>
      </c>
      <c r="E82" s="16" t="inlineStr">
        <is>
          <t>Mid-stream</t>
        </is>
      </c>
      <c r="F82" s="17" t="inlineStr">
        <is>
          <t>B45ED1F0</t>
        </is>
      </c>
      <c r="G82" s="17">
        <f>MID(F82,1,2)</f>
        <v/>
      </c>
      <c r="H82" s="17">
        <f>MID(F82,3,2)</f>
        <v/>
      </c>
      <c r="I82" s="17">
        <f>MID(F82,5,2)</f>
        <v/>
      </c>
      <c r="J82" s="17">
        <f>MID(F82,7,2)</f>
        <v/>
      </c>
      <c r="K82" s="17" t="inlineStr">
        <is>
          <t>B45ED1F0</t>
        </is>
      </c>
      <c r="L82" s="17" t="inlineStr">
        <is>
          <t>B45ED1F0</t>
        </is>
      </c>
      <c r="M82" s="16">
        <f>IF(K82=L82,"MATCH","MISMATCH")</f>
        <v/>
      </c>
      <c r="N82" s="18" t="inlineStr">
        <is>
          <t>10110100010111101101000111110000</t>
        </is>
      </c>
      <c r="O82" s="18" t="inlineStr">
        <is>
          <t>10110100010111101101000111110000</t>
        </is>
      </c>
      <c r="P82" s="16">
        <f>IF(N82=O82,"MATCH","MISMATCH")</f>
        <v/>
      </c>
      <c r="Q82" s="16" t="n">
        <v>40</v>
      </c>
      <c r="R82" s="12">
        <f>IF(Q82&lt;0,"n/a",Q82*Summary!$B$11)</f>
        <v/>
      </c>
      <c r="S82" s="16">
        <f>IF(Q82&lt;0,"NEVER",IF(Q82&lt;=Summary!$B$12,"OK","OVER LIMIT"))</f>
        <v/>
      </c>
      <c r="T82" s="16">
        <f>IF(AND(M82="MATCH",P82="MATCH",S82="OK"),"PASS","FAIL")</f>
        <v/>
      </c>
    </row>
    <row r="83">
      <c r="A83" s="16" t="n">
        <v>1</v>
      </c>
      <c r="B83" s="5" t="inlineStr">
        <is>
          <t>2026-10-22 16:04:25</t>
        </is>
      </c>
      <c r="C83" s="5" t="inlineStr">
        <is>
          <t>input_vectors.hex</t>
        </is>
      </c>
      <c r="D83" s="16" t="n">
        <v>81</v>
      </c>
      <c r="E83" s="16" t="inlineStr">
        <is>
          <t>Mid-stream</t>
        </is>
      </c>
      <c r="F83" s="17" t="inlineStr">
        <is>
          <t>11CE5DD2</t>
        </is>
      </c>
      <c r="G83" s="17">
        <f>MID(F83,1,2)</f>
        <v/>
      </c>
      <c r="H83" s="17">
        <f>MID(F83,3,2)</f>
        <v/>
      </c>
      <c r="I83" s="17">
        <f>MID(F83,5,2)</f>
        <v/>
      </c>
      <c r="J83" s="17">
        <f>MID(F83,7,2)</f>
        <v/>
      </c>
      <c r="K83" s="17" t="inlineStr">
        <is>
          <t>11CE5DD2</t>
        </is>
      </c>
      <c r="L83" s="17" t="inlineStr">
        <is>
          <t>11CE5DD2</t>
        </is>
      </c>
      <c r="M83" s="16">
        <f>IF(K83=L83,"MATCH","MISMATCH")</f>
        <v/>
      </c>
      <c r="N83" s="18" t="inlineStr">
        <is>
          <t>00010001110011100101110111010010</t>
        </is>
      </c>
      <c r="O83" s="18" t="inlineStr">
        <is>
          <t>00010001110011100101110111010010</t>
        </is>
      </c>
      <c r="P83" s="16">
        <f>IF(N83=O83,"MATCH","MISMATCH")</f>
        <v/>
      </c>
      <c r="Q83" s="16" t="n">
        <v>40</v>
      </c>
      <c r="R83" s="12">
        <f>IF(Q83&lt;0,"n/a",Q83*Summary!$B$11)</f>
        <v/>
      </c>
      <c r="S83" s="16">
        <f>IF(Q83&lt;0,"NEVER",IF(Q83&lt;=Summary!$B$12,"OK","OVER LIMIT"))</f>
        <v/>
      </c>
      <c r="T83" s="16">
        <f>IF(AND(M83="MATCH",P83="MATCH",S83="OK"),"PASS","FAIL")</f>
        <v/>
      </c>
    </row>
    <row r="84">
      <c r="A84" s="16" t="n">
        <v>1</v>
      </c>
      <c r="B84" s="5" t="inlineStr">
        <is>
          <t>2026-10-22 16:04:25</t>
        </is>
      </c>
      <c r="C84" s="5" t="inlineStr">
        <is>
          <t>input_vectors.hex</t>
        </is>
      </c>
      <c r="D84" s="16" t="n">
        <v>82</v>
      </c>
      <c r="E84" s="16" t="inlineStr">
        <is>
          <t>Mid-stream</t>
        </is>
      </c>
      <c r="F84" s="17" t="inlineStr">
        <is>
          <t>0BBB2599</t>
        </is>
      </c>
      <c r="G84" s="17">
        <f>MID(F84,1,2)</f>
        <v/>
      </c>
      <c r="H84" s="17">
        <f>MID(F84,3,2)</f>
        <v/>
      </c>
      <c r="I84" s="17">
        <f>MID(F84,5,2)</f>
        <v/>
      </c>
      <c r="J84" s="17">
        <f>MID(F84,7,2)</f>
        <v/>
      </c>
      <c r="K84" s="17" t="inlineStr">
        <is>
          <t>0BBB2599</t>
        </is>
      </c>
      <c r="L84" s="17" t="inlineStr">
        <is>
          <t>0BBB2599</t>
        </is>
      </c>
      <c r="M84" s="16">
        <f>IF(K84=L84,"MATCH","MISMATCH")</f>
        <v/>
      </c>
      <c r="N84" s="18" t="inlineStr">
        <is>
          <t>00001011101110110010010110011001</t>
        </is>
      </c>
      <c r="O84" s="18" t="inlineStr">
        <is>
          <t>00001011101110110010010110011001</t>
        </is>
      </c>
      <c r="P84" s="16">
        <f>IF(N84=O84,"MATCH","MISMATCH")</f>
        <v/>
      </c>
      <c r="Q84" s="16" t="n">
        <v>40</v>
      </c>
      <c r="R84" s="12">
        <f>IF(Q84&lt;0,"n/a",Q84*Summary!$B$11)</f>
        <v/>
      </c>
      <c r="S84" s="16">
        <f>IF(Q84&lt;0,"NEVER",IF(Q84&lt;=Summary!$B$12,"OK","OVER LIMIT"))</f>
        <v/>
      </c>
      <c r="T84" s="16">
        <f>IF(AND(M84="MATCH",P84="MATCH",S84="OK"),"PASS","FAIL")</f>
        <v/>
      </c>
    </row>
    <row r="85">
      <c r="A85" s="16" t="n">
        <v>1</v>
      </c>
      <c r="B85" s="5" t="inlineStr">
        <is>
          <t>2026-10-22 16:04:25</t>
        </is>
      </c>
      <c r="C85" s="5" t="inlineStr">
        <is>
          <t>input_vectors.hex</t>
        </is>
      </c>
      <c r="D85" s="16" t="n">
        <v>83</v>
      </c>
      <c r="E85" s="16" t="inlineStr">
        <is>
          <t>Mid-stream</t>
        </is>
      </c>
      <c r="F85" s="17" t="inlineStr">
        <is>
          <t>A9488D99</t>
        </is>
      </c>
      <c r="G85" s="17">
        <f>MID(F85,1,2)</f>
        <v/>
      </c>
      <c r="H85" s="17">
        <f>MID(F85,3,2)</f>
        <v/>
      </c>
      <c r="I85" s="17">
        <f>MID(F85,5,2)</f>
        <v/>
      </c>
      <c r="J85" s="17">
        <f>MID(F85,7,2)</f>
        <v/>
      </c>
      <c r="K85" s="17" t="inlineStr">
        <is>
          <t>A9488D99</t>
        </is>
      </c>
      <c r="L85" s="17" t="inlineStr">
        <is>
          <t>A9488D99</t>
        </is>
      </c>
      <c r="M85" s="16">
        <f>IF(K85=L85,"MATCH","MISMATCH")</f>
        <v/>
      </c>
      <c r="N85" s="18" t="inlineStr">
        <is>
          <t>10101001010010001000110110011001</t>
        </is>
      </c>
      <c r="O85" s="18" t="inlineStr">
        <is>
          <t>10101001010010001000110110011001</t>
        </is>
      </c>
      <c r="P85" s="16">
        <f>IF(N85=O85,"MATCH","MISMATCH")</f>
        <v/>
      </c>
      <c r="Q85" s="16" t="n">
        <v>32</v>
      </c>
      <c r="R85" s="12">
        <f>IF(Q85&lt;0,"n/a",Q85*Summary!$B$11)</f>
        <v/>
      </c>
      <c r="S85" s="16">
        <f>IF(Q85&lt;0,"NEVER",IF(Q85&lt;=Summary!$B$12,"OK","OVER LIMIT"))</f>
        <v/>
      </c>
      <c r="T85" s="16">
        <f>IF(AND(M85="MATCH",P85="MATCH",S85="OK"),"PASS","FAIL")</f>
        <v/>
      </c>
    </row>
    <row r="86">
      <c r="A86" s="16" t="n">
        <v>1</v>
      </c>
      <c r="B86" s="5" t="inlineStr">
        <is>
          <t>2026-10-22 16:04:25</t>
        </is>
      </c>
      <c r="C86" s="5" t="inlineStr">
        <is>
          <t>input_vectors.hex</t>
        </is>
      </c>
      <c r="D86" s="16" t="n">
        <v>84</v>
      </c>
      <c r="E86" s="16" t="inlineStr">
        <is>
          <t>Mid-stream</t>
        </is>
      </c>
      <c r="F86" s="17" t="inlineStr">
        <is>
          <t>3A578A8E</t>
        </is>
      </c>
      <c r="G86" s="17">
        <f>MID(F86,1,2)</f>
        <v/>
      </c>
      <c r="H86" s="17">
        <f>MID(F86,3,2)</f>
        <v/>
      </c>
      <c r="I86" s="17">
        <f>MID(F86,5,2)</f>
        <v/>
      </c>
      <c r="J86" s="17">
        <f>MID(F86,7,2)</f>
        <v/>
      </c>
      <c r="K86" s="17" t="inlineStr">
        <is>
          <t>3A578A8E</t>
        </is>
      </c>
      <c r="L86" s="17" t="inlineStr">
        <is>
          <t>3A578A8E</t>
        </is>
      </c>
      <c r="M86" s="16">
        <f>IF(K86=L86,"MATCH","MISMATCH")</f>
        <v/>
      </c>
      <c r="N86" s="18" t="inlineStr">
        <is>
          <t>00111010010101111000101010001110</t>
        </is>
      </c>
      <c r="O86" s="18" t="inlineStr">
        <is>
          <t>00111010010101111000101010001110</t>
        </is>
      </c>
      <c r="P86" s="16">
        <f>IF(N86=O86,"MATCH","MISMATCH")</f>
        <v/>
      </c>
      <c r="Q86" s="16" t="n">
        <v>40</v>
      </c>
      <c r="R86" s="12">
        <f>IF(Q86&lt;0,"n/a",Q86*Summary!$B$11)</f>
        <v/>
      </c>
      <c r="S86" s="16">
        <f>IF(Q86&lt;0,"NEVER",IF(Q86&lt;=Summary!$B$12,"OK","OVER LIMIT"))</f>
        <v/>
      </c>
      <c r="T86" s="16">
        <f>IF(AND(M86="MATCH",P86="MATCH",S86="OK"),"PASS","FAIL")</f>
        <v/>
      </c>
    </row>
    <row r="87">
      <c r="A87" s="16" t="n">
        <v>1</v>
      </c>
      <c r="B87" s="5" t="inlineStr">
        <is>
          <t>2026-10-22 16:04:25</t>
        </is>
      </c>
      <c r="C87" s="5" t="inlineStr">
        <is>
          <t>input_vectors.hex</t>
        </is>
      </c>
      <c r="D87" s="16" t="n">
        <v>85</v>
      </c>
      <c r="E87" s="16" t="inlineStr">
        <is>
          <t>Mid-stream</t>
        </is>
      </c>
      <c r="F87" s="17" t="inlineStr">
        <is>
          <t>C5E7CE8A</t>
        </is>
      </c>
      <c r="G87" s="17">
        <f>MID(F87,1,2)</f>
        <v/>
      </c>
      <c r="H87" s="17">
        <f>MID(F87,3,2)</f>
        <v/>
      </c>
      <c r="I87" s="17">
        <f>MID(F87,5,2)</f>
        <v/>
      </c>
      <c r="J87" s="17">
        <f>MID(F87,7,2)</f>
        <v/>
      </c>
      <c r="K87" s="17" t="inlineStr">
        <is>
          <t>C5E7CE8A</t>
        </is>
      </c>
      <c r="L87" s="17" t="inlineStr">
        <is>
          <t>C5E7CE8A</t>
        </is>
      </c>
      <c r="M87" s="16">
        <f>IF(K87=L87,"MATCH","MISMATCH")</f>
        <v/>
      </c>
      <c r="N87" s="18" t="inlineStr">
        <is>
          <t>11000101111001111100111010001010</t>
        </is>
      </c>
      <c r="O87" s="18" t="inlineStr">
        <is>
          <t>11000101111001111100111010001010</t>
        </is>
      </c>
      <c r="P87" s="16">
        <f>IF(N87=O87,"MATCH","MISMATCH")</f>
        <v/>
      </c>
      <c r="Q87" s="16" t="n">
        <v>40</v>
      </c>
      <c r="R87" s="12">
        <f>IF(Q87&lt;0,"n/a",Q87*Summary!$B$11)</f>
        <v/>
      </c>
      <c r="S87" s="16">
        <f>IF(Q87&lt;0,"NEVER",IF(Q87&lt;=Summary!$B$12,"OK","OVER LIMIT"))</f>
        <v/>
      </c>
      <c r="T87" s="16">
        <f>IF(AND(M87="MATCH",P87="MATCH",S87="OK"),"PASS","FAIL")</f>
        <v/>
      </c>
    </row>
    <row r="88">
      <c r="A88" s="16" t="n">
        <v>1</v>
      </c>
      <c r="B88" s="5" t="inlineStr">
        <is>
          <t>2026-10-22 16:04:25</t>
        </is>
      </c>
      <c r="C88" s="5" t="inlineStr">
        <is>
          <t>input_vectors.hex</t>
        </is>
      </c>
      <c r="D88" s="16" t="n">
        <v>86</v>
      </c>
      <c r="E88" s="16" t="inlineStr">
        <is>
          <t>Mid-stream</t>
        </is>
      </c>
      <c r="F88" s="17" t="inlineStr">
        <is>
          <t>4A15544D</t>
        </is>
      </c>
      <c r="G88" s="17">
        <f>MID(F88,1,2)</f>
        <v/>
      </c>
      <c r="H88" s="17">
        <f>MID(F88,3,2)</f>
        <v/>
      </c>
      <c r="I88" s="17">
        <f>MID(F88,5,2)</f>
        <v/>
      </c>
      <c r="J88" s="17">
        <f>MID(F88,7,2)</f>
        <v/>
      </c>
      <c r="K88" s="17" t="inlineStr">
        <is>
          <t>4A15544D</t>
        </is>
      </c>
      <c r="L88" s="17" t="inlineStr">
        <is>
          <t>4A15544D</t>
        </is>
      </c>
      <c r="M88" s="16">
        <f>IF(K88=L88,"MATCH","MISMATCH")</f>
        <v/>
      </c>
      <c r="N88" s="18" t="inlineStr">
        <is>
          <t>01001010000101010101010001001101</t>
        </is>
      </c>
      <c r="O88" s="18" t="inlineStr">
        <is>
          <t>01001010000101010101010001001101</t>
        </is>
      </c>
      <c r="P88" s="16">
        <f>IF(N88=O88,"MATCH","MISMATCH")</f>
        <v/>
      </c>
      <c r="Q88" s="16" t="n">
        <v>40</v>
      </c>
      <c r="R88" s="12">
        <f>IF(Q88&lt;0,"n/a",Q88*Summary!$B$11)</f>
        <v/>
      </c>
      <c r="S88" s="16">
        <f>IF(Q88&lt;0,"NEVER",IF(Q88&lt;=Summary!$B$12,"OK","OVER LIMIT"))</f>
        <v/>
      </c>
      <c r="T88" s="16">
        <f>IF(AND(M88="MATCH",P88="MATCH",S88="OK"),"PASS","FAIL")</f>
        <v/>
      </c>
    </row>
    <row r="89">
      <c r="A89" s="16" t="n">
        <v>1</v>
      </c>
      <c r="B89" s="5" t="inlineStr">
        <is>
          <t>2026-10-22 16:04:25</t>
        </is>
      </c>
      <c r="C89" s="5" t="inlineStr">
        <is>
          <t>input_vectors.hex</t>
        </is>
      </c>
      <c r="D89" s="16" t="n">
        <v>87</v>
      </c>
      <c r="E89" s="16" t="inlineStr">
        <is>
          <t>Mid-stream</t>
        </is>
      </c>
      <c r="F89" s="17" t="inlineStr">
        <is>
          <t>FC377A4C</t>
        </is>
      </c>
      <c r="G89" s="17">
        <f>MID(F89,1,2)</f>
        <v/>
      </c>
      <c r="H89" s="17">
        <f>MID(F89,3,2)</f>
        <v/>
      </c>
      <c r="I89" s="17">
        <f>MID(F89,5,2)</f>
        <v/>
      </c>
      <c r="J89" s="17">
        <f>MID(F89,7,2)</f>
        <v/>
      </c>
      <c r="K89" s="17" t="inlineStr">
        <is>
          <t>FC377A4C</t>
        </is>
      </c>
      <c r="L89" s="17" t="inlineStr">
        <is>
          <t>FC377A4C</t>
        </is>
      </c>
      <c r="M89" s="16">
        <f>IF(K89=L89,"MATCH","MISMATCH")</f>
        <v/>
      </c>
      <c r="N89" s="18" t="inlineStr">
        <is>
          <t>11111100001101110111101001001100</t>
        </is>
      </c>
      <c r="O89" s="18" t="inlineStr">
        <is>
          <t>11111100001101110111101001001100</t>
        </is>
      </c>
      <c r="P89" s="16">
        <f>IF(N89=O89,"MATCH","MISMATCH")</f>
        <v/>
      </c>
      <c r="Q89" s="16" t="n">
        <v>40</v>
      </c>
      <c r="R89" s="12">
        <f>IF(Q89&lt;0,"n/a",Q89*Summary!$B$11)</f>
        <v/>
      </c>
      <c r="S89" s="16">
        <f>IF(Q89&lt;0,"NEVER",IF(Q89&lt;=Summary!$B$12,"OK","OVER LIMIT"))</f>
        <v/>
      </c>
      <c r="T89" s="16">
        <f>IF(AND(M89="MATCH",P89="MATCH",S89="OK"),"PASS","FAIL")</f>
        <v/>
      </c>
    </row>
    <row r="90">
      <c r="A90" s="16" t="n">
        <v>1</v>
      </c>
      <c r="B90" s="5" t="inlineStr">
        <is>
          <t>2026-10-22 16:04:25</t>
        </is>
      </c>
      <c r="C90" s="5" t="inlineStr">
        <is>
          <t>input_vectors.hex</t>
        </is>
      </c>
      <c r="D90" s="16" t="n">
        <v>88</v>
      </c>
      <c r="E90" s="16" t="inlineStr">
        <is>
          <t>Mid-stream</t>
        </is>
      </c>
      <c r="F90" s="17" t="inlineStr">
        <is>
          <t>146D3F31</t>
        </is>
      </c>
      <c r="G90" s="17">
        <f>MID(F90,1,2)</f>
        <v/>
      </c>
      <c r="H90" s="17">
        <f>MID(F90,3,2)</f>
        <v/>
      </c>
      <c r="I90" s="17">
        <f>MID(F90,5,2)</f>
        <v/>
      </c>
      <c r="J90" s="17">
        <f>MID(F90,7,2)</f>
        <v/>
      </c>
      <c r="K90" s="17" t="inlineStr">
        <is>
          <t>146D3F31</t>
        </is>
      </c>
      <c r="L90" s="17" t="inlineStr">
        <is>
          <t>146D3F31</t>
        </is>
      </c>
      <c r="M90" s="16">
        <f>IF(K90=L90,"MATCH","MISMATCH")</f>
        <v/>
      </c>
      <c r="N90" s="18" t="inlineStr">
        <is>
          <t>00010100011011010011111100110001</t>
        </is>
      </c>
      <c r="O90" s="18" t="inlineStr">
        <is>
          <t>00010100011011010011111100110001</t>
        </is>
      </c>
      <c r="P90" s="16">
        <f>IF(N90=O90,"MATCH","MISMATCH")</f>
        <v/>
      </c>
      <c r="Q90" s="16" t="n">
        <v>40</v>
      </c>
      <c r="R90" s="12">
        <f>IF(Q90&lt;0,"n/a",Q90*Summary!$B$11)</f>
        <v/>
      </c>
      <c r="S90" s="16">
        <f>IF(Q90&lt;0,"NEVER",IF(Q90&lt;=Summary!$B$12,"OK","OVER LIMIT"))</f>
        <v/>
      </c>
      <c r="T90" s="16">
        <f>IF(AND(M90="MATCH",P90="MATCH",S90="OK"),"PASS","FAIL")</f>
        <v/>
      </c>
    </row>
    <row r="91">
      <c r="A91" s="16" t="n">
        <v>1</v>
      </c>
      <c r="B91" s="5" t="inlineStr">
        <is>
          <t>2026-10-22 16:04:25</t>
        </is>
      </c>
      <c r="C91" s="5" t="inlineStr">
        <is>
          <t>input_vectors.hex</t>
        </is>
      </c>
      <c r="D91" s="16" t="n">
        <v>89</v>
      </c>
      <c r="E91" s="16" t="inlineStr">
        <is>
          <t>Mid-stream</t>
        </is>
      </c>
      <c r="F91" s="17" t="inlineStr">
        <is>
          <t>DAF61A26</t>
        </is>
      </c>
      <c r="G91" s="17">
        <f>MID(F91,1,2)</f>
        <v/>
      </c>
      <c r="H91" s="17">
        <f>MID(F91,3,2)</f>
        <v/>
      </c>
      <c r="I91" s="17">
        <f>MID(F91,5,2)</f>
        <v/>
      </c>
      <c r="J91" s="17">
        <f>MID(F91,7,2)</f>
        <v/>
      </c>
      <c r="K91" s="17" t="inlineStr">
        <is>
          <t>DAF61A26</t>
        </is>
      </c>
      <c r="L91" s="17" t="inlineStr">
        <is>
          <t>DAF61A26</t>
        </is>
      </c>
      <c r="M91" s="16">
        <f>IF(K91=L91,"MATCH","MISMATCH")</f>
        <v/>
      </c>
      <c r="N91" s="18" t="inlineStr">
        <is>
          <t>11011010111101100001101000100110</t>
        </is>
      </c>
      <c r="O91" s="18" t="inlineStr">
        <is>
          <t>11011010111101100001101000100110</t>
        </is>
      </c>
      <c r="P91" s="16">
        <f>IF(N91=O91,"MATCH","MISMATCH")</f>
        <v/>
      </c>
      <c r="Q91" s="16" t="n">
        <v>40</v>
      </c>
      <c r="R91" s="12">
        <f>IF(Q91&lt;0,"n/a",Q91*Summary!$B$11)</f>
        <v/>
      </c>
      <c r="S91" s="16">
        <f>IF(Q91&lt;0,"NEVER",IF(Q91&lt;=Summary!$B$12,"OK","OVER LIMIT"))</f>
        <v/>
      </c>
      <c r="T91" s="16">
        <f>IF(AND(M91="MATCH",P91="MATCH",S91="OK"),"PASS","FAIL")</f>
        <v/>
      </c>
    </row>
    <row r="92">
      <c r="A92" s="16" t="n">
        <v>1</v>
      </c>
      <c r="B92" s="5" t="inlineStr">
        <is>
          <t>2026-10-22 16:04:25</t>
        </is>
      </c>
      <c r="C92" s="5" t="inlineStr">
        <is>
          <t>input_vectors.hex</t>
        </is>
      </c>
      <c r="D92" s="16" t="n">
        <v>90</v>
      </c>
      <c r="E92" s="16" t="inlineStr">
        <is>
          <t>Mid-stream</t>
        </is>
      </c>
      <c r="F92" s="17" t="inlineStr">
        <is>
          <t>3B982EF8</t>
        </is>
      </c>
      <c r="G92" s="17">
        <f>MID(F92,1,2)</f>
        <v/>
      </c>
      <c r="H92" s="17">
        <f>MID(F92,3,2)</f>
        <v/>
      </c>
      <c r="I92" s="17">
        <f>MID(F92,5,2)</f>
        <v/>
      </c>
      <c r="J92" s="17">
        <f>MID(F92,7,2)</f>
        <v/>
      </c>
      <c r="K92" s="17" t="inlineStr">
        <is>
          <t>3B982EF8</t>
        </is>
      </c>
      <c r="L92" s="17" t="inlineStr">
        <is>
          <t>3B982EF8</t>
        </is>
      </c>
      <c r="M92" s="16">
        <f>IF(K92=L92,"MATCH","MISMATCH")</f>
        <v/>
      </c>
      <c r="N92" s="18" t="inlineStr">
        <is>
          <t>00111011100110000010111011111000</t>
        </is>
      </c>
      <c r="O92" s="18" t="inlineStr">
        <is>
          <t>00111011100110000010111011111000</t>
        </is>
      </c>
      <c r="P92" s="16">
        <f>IF(N92=O92,"MATCH","MISMATCH")</f>
        <v/>
      </c>
      <c r="Q92" s="16" t="n">
        <v>40</v>
      </c>
      <c r="R92" s="12">
        <f>IF(Q92&lt;0,"n/a",Q92*Summary!$B$11)</f>
        <v/>
      </c>
      <c r="S92" s="16">
        <f>IF(Q92&lt;0,"NEVER",IF(Q92&lt;=Summary!$B$12,"OK","OVER LIMIT"))</f>
        <v/>
      </c>
      <c r="T92" s="16">
        <f>IF(AND(M92="MATCH",P92="MATCH",S92="OK"),"PASS","FAIL")</f>
        <v/>
      </c>
    </row>
    <row r="93">
      <c r="A93" s="16" t="n">
        <v>1</v>
      </c>
      <c r="B93" s="5" t="inlineStr">
        <is>
          <t>2026-10-22 16:04:25</t>
        </is>
      </c>
      <c r="C93" s="5" t="inlineStr">
        <is>
          <t>input_vectors.hex</t>
        </is>
      </c>
      <c r="D93" s="16" t="n">
        <v>91</v>
      </c>
      <c r="E93" s="16" t="inlineStr">
        <is>
          <t>Mid-stream</t>
        </is>
      </c>
      <c r="F93" s="17" t="inlineStr">
        <is>
          <t>DDD1DFB2</t>
        </is>
      </c>
      <c r="G93" s="17">
        <f>MID(F93,1,2)</f>
        <v/>
      </c>
      <c r="H93" s="17">
        <f>MID(F93,3,2)</f>
        <v/>
      </c>
      <c r="I93" s="17">
        <f>MID(F93,5,2)</f>
        <v/>
      </c>
      <c r="J93" s="17">
        <f>MID(F93,7,2)</f>
        <v/>
      </c>
      <c r="K93" s="17" t="inlineStr">
        <is>
          <t>DDD1DFB2</t>
        </is>
      </c>
      <c r="L93" s="17" t="inlineStr">
        <is>
          <t>DDD1DFB2</t>
        </is>
      </c>
      <c r="M93" s="16">
        <f>IF(K93=L93,"MATCH","MISMATCH")</f>
        <v/>
      </c>
      <c r="N93" s="18" t="inlineStr">
        <is>
          <t>11011101110100011101111110110010</t>
        </is>
      </c>
      <c r="O93" s="18" t="inlineStr">
        <is>
          <t>11011101110100011101111110110010</t>
        </is>
      </c>
      <c r="P93" s="16">
        <f>IF(N93=O93,"MATCH","MISMATCH")</f>
        <v/>
      </c>
      <c r="Q93" s="16" t="n">
        <v>40</v>
      </c>
      <c r="R93" s="12">
        <f>IF(Q93&lt;0,"n/a",Q93*Summary!$B$11)</f>
        <v/>
      </c>
      <c r="S93" s="16">
        <f>IF(Q93&lt;0,"NEVER",IF(Q93&lt;=Summary!$B$12,"OK","OVER LIMIT"))</f>
        <v/>
      </c>
      <c r="T93" s="16">
        <f>IF(AND(M93="MATCH",P93="MATCH",S93="OK"),"PASS","FAIL")</f>
        <v/>
      </c>
    </row>
    <row r="94">
      <c r="A94" s="16" t="n">
        <v>1</v>
      </c>
      <c r="B94" s="5" t="inlineStr">
        <is>
          <t>2026-10-22 16:04:25</t>
        </is>
      </c>
      <c r="C94" s="5" t="inlineStr">
        <is>
          <t>input_vectors.hex</t>
        </is>
      </c>
      <c r="D94" s="16" t="n">
        <v>92</v>
      </c>
      <c r="E94" s="16" t="inlineStr">
        <is>
          <t>Mid-stream</t>
        </is>
      </c>
      <c r="F94" s="17" t="inlineStr">
        <is>
          <t>19DB3AD0</t>
        </is>
      </c>
      <c r="G94" s="17">
        <f>MID(F94,1,2)</f>
        <v/>
      </c>
      <c r="H94" s="17">
        <f>MID(F94,3,2)</f>
        <v/>
      </c>
      <c r="I94" s="17">
        <f>MID(F94,5,2)</f>
        <v/>
      </c>
      <c r="J94" s="17">
        <f>MID(F94,7,2)</f>
        <v/>
      </c>
      <c r="K94" s="17" t="inlineStr">
        <is>
          <t>19DB3AD0</t>
        </is>
      </c>
      <c r="L94" s="17" t="inlineStr">
        <is>
          <t>19DB3AD0</t>
        </is>
      </c>
      <c r="M94" s="16">
        <f>IF(K94=L94,"MATCH","MISMATCH")</f>
        <v/>
      </c>
      <c r="N94" s="18" t="inlineStr">
        <is>
          <t>00011001110110110011101011010000</t>
        </is>
      </c>
      <c r="O94" s="18" t="inlineStr">
        <is>
          <t>00011001110110110011101011010000</t>
        </is>
      </c>
      <c r="P94" s="16">
        <f>IF(N94=O94,"MATCH","MISMATCH")</f>
        <v/>
      </c>
      <c r="Q94" s="16" t="n">
        <v>40</v>
      </c>
      <c r="R94" s="12">
        <f>IF(Q94&lt;0,"n/a",Q94*Summary!$B$11)</f>
        <v/>
      </c>
      <c r="S94" s="16">
        <f>IF(Q94&lt;0,"NEVER",IF(Q94&lt;=Summary!$B$12,"OK","OVER LIMIT"))</f>
        <v/>
      </c>
      <c r="T94" s="16">
        <f>IF(AND(M94="MATCH",P94="MATCH",S94="OK"),"PASS","FAIL")</f>
        <v/>
      </c>
    </row>
    <row r="95">
      <c r="A95" s="16" t="n">
        <v>1</v>
      </c>
      <c r="B95" s="5" t="inlineStr">
        <is>
          <t>2026-10-22 16:04:25</t>
        </is>
      </c>
      <c r="C95" s="5" t="inlineStr">
        <is>
          <t>input_vectors.hex</t>
        </is>
      </c>
      <c r="D95" s="16" t="n">
        <v>93</v>
      </c>
      <c r="E95" s="16" t="inlineStr">
        <is>
          <t>Mid-stream</t>
        </is>
      </c>
      <c r="F95" s="17" t="inlineStr">
        <is>
          <t>614FF3D7</t>
        </is>
      </c>
      <c r="G95" s="17">
        <f>MID(F95,1,2)</f>
        <v/>
      </c>
      <c r="H95" s="17">
        <f>MID(F95,3,2)</f>
        <v/>
      </c>
      <c r="I95" s="17">
        <f>MID(F95,5,2)</f>
        <v/>
      </c>
      <c r="J95" s="17">
        <f>MID(F95,7,2)</f>
        <v/>
      </c>
      <c r="K95" s="17" t="inlineStr">
        <is>
          <t>614FF3D7</t>
        </is>
      </c>
      <c r="L95" s="17" t="inlineStr">
        <is>
          <t>614FF3D7</t>
        </is>
      </c>
      <c r="M95" s="16">
        <f>IF(K95=L95,"MATCH","MISMATCH")</f>
        <v/>
      </c>
      <c r="N95" s="18" t="inlineStr">
        <is>
          <t>01100001010011111111001111010111</t>
        </is>
      </c>
      <c r="O95" s="18" t="inlineStr">
        <is>
          <t>01100001010011111111001111010111</t>
        </is>
      </c>
      <c r="P95" s="16">
        <f>IF(N95=O95,"MATCH","MISMATCH")</f>
        <v/>
      </c>
      <c r="Q95" s="16" t="n">
        <v>40</v>
      </c>
      <c r="R95" s="12">
        <f>IF(Q95&lt;0,"n/a",Q95*Summary!$B$11)</f>
        <v/>
      </c>
      <c r="S95" s="16">
        <f>IF(Q95&lt;0,"NEVER",IF(Q95&lt;=Summary!$B$12,"OK","OVER LIMIT"))</f>
        <v/>
      </c>
      <c r="T95" s="16">
        <f>IF(AND(M95="MATCH",P95="MATCH",S95="OK"),"PASS","FAIL")</f>
        <v/>
      </c>
    </row>
    <row r="96">
      <c r="A96" s="16" t="n">
        <v>1</v>
      </c>
      <c r="B96" s="5" t="inlineStr">
        <is>
          <t>2026-10-22 16:04:25</t>
        </is>
      </c>
      <c r="C96" s="5" t="inlineStr">
        <is>
          <t>input_vectors.hex</t>
        </is>
      </c>
      <c r="D96" s="16" t="n">
        <v>94</v>
      </c>
      <c r="E96" s="16" t="inlineStr">
        <is>
          <t>Mid-stream</t>
        </is>
      </c>
      <c r="F96" s="17" t="inlineStr">
        <is>
          <t>47294739</t>
        </is>
      </c>
      <c r="G96" s="17">
        <f>MID(F96,1,2)</f>
        <v/>
      </c>
      <c r="H96" s="17">
        <f>MID(F96,3,2)</f>
        <v/>
      </c>
      <c r="I96" s="17">
        <f>MID(F96,5,2)</f>
        <v/>
      </c>
      <c r="J96" s="17">
        <f>MID(F96,7,2)</f>
        <v/>
      </c>
      <c r="K96" s="17" t="inlineStr">
        <is>
          <t>47294739</t>
        </is>
      </c>
      <c r="L96" s="17" t="inlineStr">
        <is>
          <t>47294739</t>
        </is>
      </c>
      <c r="M96" s="16">
        <f>IF(K96=L96,"MATCH","MISMATCH")</f>
        <v/>
      </c>
      <c r="N96" s="18" t="inlineStr">
        <is>
          <t>01000111001010010100011100111001</t>
        </is>
      </c>
      <c r="O96" s="18" t="inlineStr">
        <is>
          <t>01000111001010010100011100111001</t>
        </is>
      </c>
      <c r="P96" s="16">
        <f>IF(N96=O96,"MATCH","MISMATCH")</f>
        <v/>
      </c>
      <c r="Q96" s="16" t="n">
        <v>40</v>
      </c>
      <c r="R96" s="12">
        <f>IF(Q96&lt;0,"n/a",Q96*Summary!$B$11)</f>
        <v/>
      </c>
      <c r="S96" s="16">
        <f>IF(Q96&lt;0,"NEVER",IF(Q96&lt;=Summary!$B$12,"OK","OVER LIMIT"))</f>
        <v/>
      </c>
      <c r="T96" s="16">
        <f>IF(AND(M96="MATCH",P96="MATCH",S96="OK"),"PASS","FAIL")</f>
        <v/>
      </c>
    </row>
    <row r="97">
      <c r="A97" s="16" t="n">
        <v>1</v>
      </c>
      <c r="B97" s="5" t="inlineStr">
        <is>
          <t>2026-10-22 16:04:25</t>
        </is>
      </c>
      <c r="C97" s="5" t="inlineStr">
        <is>
          <t>input_vectors.hex</t>
        </is>
      </c>
      <c r="D97" s="16" t="n">
        <v>95</v>
      </c>
      <c r="E97" s="16" t="inlineStr">
        <is>
          <t>Mid-stream</t>
        </is>
      </c>
      <c r="F97" s="17" t="inlineStr">
        <is>
          <t>7412B293</t>
        </is>
      </c>
      <c r="G97" s="17">
        <f>MID(F97,1,2)</f>
        <v/>
      </c>
      <c r="H97" s="17">
        <f>MID(F97,3,2)</f>
        <v/>
      </c>
      <c r="I97" s="17">
        <f>MID(F97,5,2)</f>
        <v/>
      </c>
      <c r="J97" s="17">
        <f>MID(F97,7,2)</f>
        <v/>
      </c>
      <c r="K97" s="17" t="inlineStr">
        <is>
          <t>7412B293</t>
        </is>
      </c>
      <c r="L97" s="17" t="inlineStr">
        <is>
          <t>7412B293</t>
        </is>
      </c>
      <c r="M97" s="16">
        <f>IF(K97=L97,"MATCH","MISMATCH")</f>
        <v/>
      </c>
      <c r="N97" s="18" t="inlineStr">
        <is>
          <t>01110100000100101011001010010011</t>
        </is>
      </c>
      <c r="O97" s="18" t="inlineStr">
        <is>
          <t>01110100000100101011001010010011</t>
        </is>
      </c>
      <c r="P97" s="16">
        <f>IF(N97=O97,"MATCH","MISMATCH")</f>
        <v/>
      </c>
      <c r="Q97" s="16" t="n">
        <v>40</v>
      </c>
      <c r="R97" s="12">
        <f>IF(Q97&lt;0,"n/a",Q97*Summary!$B$11)</f>
        <v/>
      </c>
      <c r="S97" s="16">
        <f>IF(Q97&lt;0,"NEVER",IF(Q97&lt;=Summary!$B$12,"OK","OVER LIMIT"))</f>
        <v/>
      </c>
      <c r="T97" s="16">
        <f>IF(AND(M97="MATCH",P97="MATCH",S97="OK"),"PASS","FAIL")</f>
        <v/>
      </c>
    </row>
    <row r="98">
      <c r="A98" s="16" t="n">
        <v>1</v>
      </c>
      <c r="B98" s="5" t="inlineStr">
        <is>
          <t>2026-10-22 16:04:25</t>
        </is>
      </c>
      <c r="C98" s="5" t="inlineStr">
        <is>
          <t>input_vectors.hex</t>
        </is>
      </c>
      <c r="D98" s="16" t="n">
        <v>96</v>
      </c>
      <c r="E98" s="16" t="inlineStr">
        <is>
          <t>Mid-stream</t>
        </is>
      </c>
      <c r="F98" s="17" t="inlineStr">
        <is>
          <t>A2BC372F</t>
        </is>
      </c>
      <c r="G98" s="17">
        <f>MID(F98,1,2)</f>
        <v/>
      </c>
      <c r="H98" s="17">
        <f>MID(F98,3,2)</f>
        <v/>
      </c>
      <c r="I98" s="17">
        <f>MID(F98,5,2)</f>
        <v/>
      </c>
      <c r="J98" s="17">
        <f>MID(F98,7,2)</f>
        <v/>
      </c>
      <c r="K98" s="17" t="inlineStr">
        <is>
          <t>A2BC372F</t>
        </is>
      </c>
      <c r="L98" s="17" t="inlineStr">
        <is>
          <t>A2BC372F</t>
        </is>
      </c>
      <c r="M98" s="16">
        <f>IF(K98=L98,"MATCH","MISMATCH")</f>
        <v/>
      </c>
      <c r="N98" s="18" t="inlineStr">
        <is>
          <t>10100010101111000011011100101111</t>
        </is>
      </c>
      <c r="O98" s="18" t="inlineStr">
        <is>
          <t>10100010101111000011011100101111</t>
        </is>
      </c>
      <c r="P98" s="16">
        <f>IF(N98=O98,"MATCH","MISMATCH")</f>
        <v/>
      </c>
      <c r="Q98" s="16" t="n">
        <v>40</v>
      </c>
      <c r="R98" s="12">
        <f>IF(Q98&lt;0,"n/a",Q98*Summary!$B$11)</f>
        <v/>
      </c>
      <c r="S98" s="16">
        <f>IF(Q98&lt;0,"NEVER",IF(Q98&lt;=Summary!$B$12,"OK","OVER LIMIT"))</f>
        <v/>
      </c>
      <c r="T98" s="16">
        <f>IF(AND(M98="MATCH",P98="MATCH",S98="OK"),"PASS","FAIL")</f>
        <v/>
      </c>
    </row>
    <row r="99">
      <c r="A99" s="16" t="n">
        <v>1</v>
      </c>
      <c r="B99" s="5" t="inlineStr">
        <is>
          <t>2026-10-22 16:04:25</t>
        </is>
      </c>
      <c r="C99" s="5" t="inlineStr">
        <is>
          <t>input_vectors.hex</t>
        </is>
      </c>
      <c r="D99" s="16" t="n">
        <v>97</v>
      </c>
      <c r="E99" s="16" t="inlineStr">
        <is>
          <t>Mid-stream</t>
        </is>
      </c>
      <c r="F99" s="17" t="inlineStr">
        <is>
          <t>D58842DE</t>
        </is>
      </c>
      <c r="G99" s="17">
        <f>MID(F99,1,2)</f>
        <v/>
      </c>
      <c r="H99" s="17">
        <f>MID(F99,3,2)</f>
        <v/>
      </c>
      <c r="I99" s="17">
        <f>MID(F99,5,2)</f>
        <v/>
      </c>
      <c r="J99" s="17">
        <f>MID(F99,7,2)</f>
        <v/>
      </c>
      <c r="K99" s="17" t="inlineStr">
        <is>
          <t>D58842DE</t>
        </is>
      </c>
      <c r="L99" s="17" t="inlineStr">
        <is>
          <t>D58842DE</t>
        </is>
      </c>
      <c r="M99" s="16">
        <f>IF(K99=L99,"MATCH","MISMATCH")</f>
        <v/>
      </c>
      <c r="N99" s="18" t="inlineStr">
        <is>
          <t>11010101100010000100001011011110</t>
        </is>
      </c>
      <c r="O99" s="18" t="inlineStr">
        <is>
          <t>11010101100010000100001011011110</t>
        </is>
      </c>
      <c r="P99" s="16">
        <f>IF(N99=O99,"MATCH","MISMATCH")</f>
        <v/>
      </c>
      <c r="Q99" s="16" t="n">
        <v>40</v>
      </c>
      <c r="R99" s="12">
        <f>IF(Q99&lt;0,"n/a",Q99*Summary!$B$11)</f>
        <v/>
      </c>
      <c r="S99" s="16">
        <f>IF(Q99&lt;0,"NEVER",IF(Q99&lt;=Summary!$B$12,"OK","OVER LIMIT"))</f>
        <v/>
      </c>
      <c r="T99" s="16">
        <f>IF(AND(M99="MATCH",P99="MATCH",S99="OK"),"PASS","FAIL")</f>
        <v/>
      </c>
    </row>
    <row r="100">
      <c r="A100" s="16" t="n">
        <v>1</v>
      </c>
      <c r="B100" s="5" t="inlineStr">
        <is>
          <t>2026-10-22 16:04:25</t>
        </is>
      </c>
      <c r="C100" s="5" t="inlineStr">
        <is>
          <t>input_vectors.hex</t>
        </is>
      </c>
      <c r="D100" s="16" t="n">
        <v>98</v>
      </c>
      <c r="E100" s="16" t="inlineStr">
        <is>
          <t>Mid-stream</t>
        </is>
      </c>
      <c r="F100" s="17" t="inlineStr">
        <is>
          <t>5D65A441</t>
        </is>
      </c>
      <c r="G100" s="17">
        <f>MID(F100,1,2)</f>
        <v/>
      </c>
      <c r="H100" s="17">
        <f>MID(F100,3,2)</f>
        <v/>
      </c>
      <c r="I100" s="17">
        <f>MID(F100,5,2)</f>
        <v/>
      </c>
      <c r="J100" s="17">
        <f>MID(F100,7,2)</f>
        <v/>
      </c>
      <c r="K100" s="17" t="inlineStr">
        <is>
          <t>5D65A441</t>
        </is>
      </c>
      <c r="L100" s="17" t="inlineStr">
        <is>
          <t>5D65A441</t>
        </is>
      </c>
      <c r="M100" s="16">
        <f>IF(K100=L100,"MATCH","MISMATCH")</f>
        <v/>
      </c>
      <c r="N100" s="18" t="inlineStr">
        <is>
          <t>01011101011001011010010001000001</t>
        </is>
      </c>
      <c r="O100" s="18" t="inlineStr">
        <is>
          <t>01011101011001011010010001000001</t>
        </is>
      </c>
      <c r="P100" s="16">
        <f>IF(N100=O100,"MATCH","MISMATCH")</f>
        <v/>
      </c>
      <c r="Q100" s="16" t="n">
        <v>40</v>
      </c>
      <c r="R100" s="12">
        <f>IF(Q100&lt;0,"n/a",Q100*Summary!$B$11)</f>
        <v/>
      </c>
      <c r="S100" s="16">
        <f>IF(Q100&lt;0,"NEVER",IF(Q100&lt;=Summary!$B$12,"OK","OVER LIMIT"))</f>
        <v/>
      </c>
      <c r="T100" s="16">
        <f>IF(AND(M100="MATCH",P100="MATCH",S100="OK"),"PASS","FAIL")</f>
        <v/>
      </c>
    </row>
    <row r="101">
      <c r="A101" s="16" t="n">
        <v>1</v>
      </c>
      <c r="B101" s="5" t="inlineStr">
        <is>
          <t>2026-10-22 16:04:25</t>
        </is>
      </c>
      <c r="C101" s="5" t="inlineStr">
        <is>
          <t>input_vectors.hex</t>
        </is>
      </c>
      <c r="D101" s="16" t="n">
        <v>99</v>
      </c>
      <c r="E101" s="16" t="inlineStr">
        <is>
          <t>Mid-stream</t>
        </is>
      </c>
      <c r="F101" s="17" t="inlineStr">
        <is>
          <t>29A3B2E9</t>
        </is>
      </c>
      <c r="G101" s="17">
        <f>MID(F101,1,2)</f>
        <v/>
      </c>
      <c r="H101" s="17">
        <f>MID(F101,3,2)</f>
        <v/>
      </c>
      <c r="I101" s="17">
        <f>MID(F101,5,2)</f>
        <v/>
      </c>
      <c r="J101" s="17">
        <f>MID(F101,7,2)</f>
        <v/>
      </c>
      <c r="K101" s="17" t="inlineStr">
        <is>
          <t>29A3B2E9</t>
        </is>
      </c>
      <c r="L101" s="17" t="inlineStr">
        <is>
          <t>29A3B2E9</t>
        </is>
      </c>
      <c r="M101" s="16">
        <f>IF(K101=L101,"MATCH","MISMATCH")</f>
        <v/>
      </c>
      <c r="N101" s="18" t="inlineStr">
        <is>
          <t>00101001101000111011001011101001</t>
        </is>
      </c>
      <c r="O101" s="18" t="inlineStr">
        <is>
          <t>00101001101000111011001011101001</t>
        </is>
      </c>
      <c r="P101" s="16">
        <f>IF(N101=O101,"MATCH","MISMATCH")</f>
        <v/>
      </c>
      <c r="Q101" s="16" t="n">
        <v>40</v>
      </c>
      <c r="R101" s="12">
        <f>IF(Q101&lt;0,"n/a",Q101*Summary!$B$11)</f>
        <v/>
      </c>
      <c r="S101" s="16">
        <f>IF(Q101&lt;0,"NEVER",IF(Q101&lt;=Summary!$B$12,"OK","OVER LIMIT"))</f>
        <v/>
      </c>
      <c r="T101" s="16">
        <f>IF(AND(M101="MATCH",P101="MATCH",S101="OK"),"PASS","FAIL")</f>
        <v/>
      </c>
    </row>
    <row r="102">
      <c r="A102" s="16" t="n">
        <v>1</v>
      </c>
      <c r="B102" s="5" t="inlineStr">
        <is>
          <t>2026-10-22 16:04:25</t>
        </is>
      </c>
      <c r="C102" s="5" t="inlineStr">
        <is>
          <t>input_vectors.hex</t>
        </is>
      </c>
      <c r="D102" s="16" t="n">
        <v>100</v>
      </c>
      <c r="E102" s="16" t="inlineStr">
        <is>
          <t>Mid-stream</t>
        </is>
      </c>
      <c r="F102" s="17" t="inlineStr">
        <is>
          <t>5EC42E08</t>
        </is>
      </c>
      <c r="G102" s="17">
        <f>MID(F102,1,2)</f>
        <v/>
      </c>
      <c r="H102" s="17">
        <f>MID(F102,3,2)</f>
        <v/>
      </c>
      <c r="I102" s="17">
        <f>MID(F102,5,2)</f>
        <v/>
      </c>
      <c r="J102" s="17">
        <f>MID(F102,7,2)</f>
        <v/>
      </c>
      <c r="K102" s="17" t="inlineStr">
        <is>
          <t>5EC42E08</t>
        </is>
      </c>
      <c r="L102" s="17" t="inlineStr">
        <is>
          <t>5EC42E08</t>
        </is>
      </c>
      <c r="M102" s="16">
        <f>IF(K102=L102,"MATCH","MISMATCH")</f>
        <v/>
      </c>
      <c r="N102" s="18" t="inlineStr">
        <is>
          <t>01011110110001000010111000001000</t>
        </is>
      </c>
      <c r="O102" s="18" t="inlineStr">
        <is>
          <t>01011110110001000010111000001000</t>
        </is>
      </c>
      <c r="P102" s="16">
        <f>IF(N102=O102,"MATCH","MISMATCH")</f>
        <v/>
      </c>
      <c r="Q102" s="16" t="n">
        <v>40</v>
      </c>
      <c r="R102" s="12">
        <f>IF(Q102&lt;0,"n/a",Q102*Summary!$B$11)</f>
        <v/>
      </c>
      <c r="S102" s="16">
        <f>IF(Q102&lt;0,"NEVER",IF(Q102&lt;=Summary!$B$12,"OK","OVER LIMIT"))</f>
        <v/>
      </c>
      <c r="T102" s="16">
        <f>IF(AND(M102="MATCH",P102="MATCH",S102="OK"),"PASS","FAIL")</f>
        <v/>
      </c>
    </row>
    <row r="103">
      <c r="A103" s="16" t="n">
        <v>1</v>
      </c>
      <c r="B103" s="5" t="inlineStr">
        <is>
          <t>2026-10-22 16:04:25</t>
        </is>
      </c>
      <c r="C103" s="5" t="inlineStr">
        <is>
          <t>input_vectors.hex</t>
        </is>
      </c>
      <c r="D103" s="16" t="n">
        <v>101</v>
      </c>
      <c r="E103" s="16" t="inlineStr">
        <is>
          <t>Mid-stream</t>
        </is>
      </c>
      <c r="F103" s="17" t="inlineStr">
        <is>
          <t>5AF30553</t>
        </is>
      </c>
      <c r="G103" s="17">
        <f>MID(F103,1,2)</f>
        <v/>
      </c>
      <c r="H103" s="17">
        <f>MID(F103,3,2)</f>
        <v/>
      </c>
      <c r="I103" s="17">
        <f>MID(F103,5,2)</f>
        <v/>
      </c>
      <c r="J103" s="17">
        <f>MID(F103,7,2)</f>
        <v/>
      </c>
      <c r="K103" s="17" t="inlineStr">
        <is>
          <t>5AF30553</t>
        </is>
      </c>
      <c r="L103" s="17" t="inlineStr">
        <is>
          <t>5AF30553</t>
        </is>
      </c>
      <c r="M103" s="16">
        <f>IF(K103=L103,"MATCH","MISMATCH")</f>
        <v/>
      </c>
      <c r="N103" s="18" t="inlineStr">
        <is>
          <t>01011010111100110000010101010011</t>
        </is>
      </c>
      <c r="O103" s="18" t="inlineStr">
        <is>
          <t>01011010111100110000010101010011</t>
        </is>
      </c>
      <c r="P103" s="16">
        <f>IF(N103=O103,"MATCH","MISMATCH")</f>
        <v/>
      </c>
      <c r="Q103" s="16" t="n">
        <v>40</v>
      </c>
      <c r="R103" s="12">
        <f>IF(Q103&lt;0,"n/a",Q103*Summary!$B$11)</f>
        <v/>
      </c>
      <c r="S103" s="16">
        <f>IF(Q103&lt;0,"NEVER",IF(Q103&lt;=Summary!$B$12,"OK","OVER LIMIT"))</f>
        <v/>
      </c>
      <c r="T103" s="16">
        <f>IF(AND(M103="MATCH",P103="MATCH",S103="OK"),"PASS","FAIL")</f>
        <v/>
      </c>
    </row>
    <row r="104">
      <c r="A104" s="16" t="n">
        <v>1</v>
      </c>
      <c r="B104" s="5" t="inlineStr">
        <is>
          <t>2026-10-22 16:04:25</t>
        </is>
      </c>
      <c r="C104" s="5" t="inlineStr">
        <is>
          <t>input_vectors.hex</t>
        </is>
      </c>
      <c r="D104" s="16" t="n">
        <v>102</v>
      </c>
      <c r="E104" s="16" t="inlineStr">
        <is>
          <t>Mid-stream</t>
        </is>
      </c>
      <c r="F104" s="17" t="inlineStr">
        <is>
          <t>35A240AE</t>
        </is>
      </c>
      <c r="G104" s="17">
        <f>MID(F104,1,2)</f>
        <v/>
      </c>
      <c r="H104" s="17">
        <f>MID(F104,3,2)</f>
        <v/>
      </c>
      <c r="I104" s="17">
        <f>MID(F104,5,2)</f>
        <v/>
      </c>
      <c r="J104" s="17">
        <f>MID(F104,7,2)</f>
        <v/>
      </c>
      <c r="K104" s="17" t="inlineStr">
        <is>
          <t>35A240AE</t>
        </is>
      </c>
      <c r="L104" s="17" t="inlineStr">
        <is>
          <t>35A240AE</t>
        </is>
      </c>
      <c r="M104" s="16">
        <f>IF(K104=L104,"MATCH","MISMATCH")</f>
        <v/>
      </c>
      <c r="N104" s="18" t="inlineStr">
        <is>
          <t>00110101101000100100000010101110</t>
        </is>
      </c>
      <c r="O104" s="18" t="inlineStr">
        <is>
          <t>00110101101000100100000010101110</t>
        </is>
      </c>
      <c r="P104" s="16">
        <f>IF(N104=O104,"MATCH","MISMATCH")</f>
        <v/>
      </c>
      <c r="Q104" s="16" t="n">
        <v>40</v>
      </c>
      <c r="R104" s="12">
        <f>IF(Q104&lt;0,"n/a",Q104*Summary!$B$11)</f>
        <v/>
      </c>
      <c r="S104" s="16">
        <f>IF(Q104&lt;0,"NEVER",IF(Q104&lt;=Summary!$B$12,"OK","OVER LIMIT"))</f>
        <v/>
      </c>
      <c r="T104" s="16">
        <f>IF(AND(M104="MATCH",P104="MATCH",S104="OK"),"PASS","FAIL")</f>
        <v/>
      </c>
    </row>
    <row r="105">
      <c r="A105" s="16" t="n">
        <v>1</v>
      </c>
      <c r="B105" s="5" t="inlineStr">
        <is>
          <t>2026-10-22 16:04:25</t>
        </is>
      </c>
      <c r="C105" s="5" t="inlineStr">
        <is>
          <t>input_vectors.hex</t>
        </is>
      </c>
      <c r="D105" s="16" t="n">
        <v>103</v>
      </c>
      <c r="E105" s="16" t="inlineStr">
        <is>
          <t>Mid-stream</t>
        </is>
      </c>
      <c r="F105" s="17" t="inlineStr">
        <is>
          <t>AB9099A4</t>
        </is>
      </c>
      <c r="G105" s="17">
        <f>MID(F105,1,2)</f>
        <v/>
      </c>
      <c r="H105" s="17">
        <f>MID(F105,3,2)</f>
        <v/>
      </c>
      <c r="I105" s="17">
        <f>MID(F105,5,2)</f>
        <v/>
      </c>
      <c r="J105" s="17">
        <f>MID(F105,7,2)</f>
        <v/>
      </c>
      <c r="K105" s="17" t="inlineStr">
        <is>
          <t>AB9099A4</t>
        </is>
      </c>
      <c r="L105" s="17" t="inlineStr">
        <is>
          <t>AB9099A4</t>
        </is>
      </c>
      <c r="M105" s="16">
        <f>IF(K105=L105,"MATCH","MISMATCH")</f>
        <v/>
      </c>
      <c r="N105" s="18" t="inlineStr">
        <is>
          <t>10101011100100001001100110100100</t>
        </is>
      </c>
      <c r="O105" s="18" t="inlineStr">
        <is>
          <t>10101011100100001001100110100100</t>
        </is>
      </c>
      <c r="P105" s="16">
        <f>IF(N105=O105,"MATCH","MISMATCH")</f>
        <v/>
      </c>
      <c r="Q105" s="16" t="n">
        <v>40</v>
      </c>
      <c r="R105" s="12">
        <f>IF(Q105&lt;0,"n/a",Q105*Summary!$B$11)</f>
        <v/>
      </c>
      <c r="S105" s="16">
        <f>IF(Q105&lt;0,"NEVER",IF(Q105&lt;=Summary!$B$12,"OK","OVER LIMIT"))</f>
        <v/>
      </c>
      <c r="T105" s="16">
        <f>IF(AND(M105="MATCH",P105="MATCH",S105="OK"),"PASS","FAIL")</f>
        <v/>
      </c>
    </row>
    <row r="106">
      <c r="A106" s="16" t="n">
        <v>1</v>
      </c>
      <c r="B106" s="5" t="inlineStr">
        <is>
          <t>2026-10-22 16:04:25</t>
        </is>
      </c>
      <c r="C106" s="5" t="inlineStr">
        <is>
          <t>input_vectors.hex</t>
        </is>
      </c>
      <c r="D106" s="16" t="n">
        <v>104</v>
      </c>
      <c r="E106" s="16" t="inlineStr">
        <is>
          <t>Mid-stream</t>
        </is>
      </c>
      <c r="F106" s="17" t="inlineStr">
        <is>
          <t>4458A885</t>
        </is>
      </c>
      <c r="G106" s="17">
        <f>MID(F106,1,2)</f>
        <v/>
      </c>
      <c r="H106" s="17">
        <f>MID(F106,3,2)</f>
        <v/>
      </c>
      <c r="I106" s="17">
        <f>MID(F106,5,2)</f>
        <v/>
      </c>
      <c r="J106" s="17">
        <f>MID(F106,7,2)</f>
        <v/>
      </c>
      <c r="K106" s="17" t="inlineStr">
        <is>
          <t>4458A885</t>
        </is>
      </c>
      <c r="L106" s="17" t="inlineStr">
        <is>
          <t>4458A885</t>
        </is>
      </c>
      <c r="M106" s="16">
        <f>IF(K106=L106,"MATCH","MISMATCH")</f>
        <v/>
      </c>
      <c r="N106" s="18" t="inlineStr">
        <is>
          <t>01000100010110001010100010000101</t>
        </is>
      </c>
      <c r="O106" s="18" t="inlineStr">
        <is>
          <t>01000100010110001010100010000101</t>
        </is>
      </c>
      <c r="P106" s="16">
        <f>IF(N106=O106,"MATCH","MISMATCH")</f>
        <v/>
      </c>
      <c r="Q106" s="16" t="n">
        <v>40</v>
      </c>
      <c r="R106" s="12">
        <f>IF(Q106&lt;0,"n/a",Q106*Summary!$B$11)</f>
        <v/>
      </c>
      <c r="S106" s="16">
        <f>IF(Q106&lt;0,"NEVER",IF(Q106&lt;=Summary!$B$12,"OK","OVER LIMIT"))</f>
        <v/>
      </c>
      <c r="T106" s="16">
        <f>IF(AND(M106="MATCH",P106="MATCH",S106="OK"),"PASS","FAIL")</f>
        <v/>
      </c>
    </row>
    <row r="107">
      <c r="A107" s="16" t="n">
        <v>1</v>
      </c>
      <c r="B107" s="5" t="inlineStr">
        <is>
          <t>2026-10-22 16:04:25</t>
        </is>
      </c>
      <c r="C107" s="5" t="inlineStr">
        <is>
          <t>input_vectors.hex</t>
        </is>
      </c>
      <c r="D107" s="16" t="n">
        <v>105</v>
      </c>
      <c r="E107" s="16" t="inlineStr">
        <is>
          <t>Mid-stream</t>
        </is>
      </c>
      <c r="F107" s="17" t="inlineStr">
        <is>
          <t>B3AA7EFE</t>
        </is>
      </c>
      <c r="G107" s="17">
        <f>MID(F107,1,2)</f>
        <v/>
      </c>
      <c r="H107" s="17">
        <f>MID(F107,3,2)</f>
        <v/>
      </c>
      <c r="I107" s="17">
        <f>MID(F107,5,2)</f>
        <v/>
      </c>
      <c r="J107" s="17">
        <f>MID(F107,7,2)</f>
        <v/>
      </c>
      <c r="K107" s="17" t="inlineStr">
        <is>
          <t>B3AA7EFE</t>
        </is>
      </c>
      <c r="L107" s="17" t="inlineStr">
        <is>
          <t>B3AA7EFE</t>
        </is>
      </c>
      <c r="M107" s="16">
        <f>IF(K107=L107,"MATCH","MISMATCH")</f>
        <v/>
      </c>
      <c r="N107" s="18" t="inlineStr">
        <is>
          <t>10110011101010100111111011111110</t>
        </is>
      </c>
      <c r="O107" s="18" t="inlineStr">
        <is>
          <t>10110011101010100111111011111110</t>
        </is>
      </c>
      <c r="P107" s="16">
        <f>IF(N107=O107,"MATCH","MISMATCH")</f>
        <v/>
      </c>
      <c r="Q107" s="16" t="n">
        <v>40</v>
      </c>
      <c r="R107" s="12">
        <f>IF(Q107&lt;0,"n/a",Q107*Summary!$B$11)</f>
        <v/>
      </c>
      <c r="S107" s="16">
        <f>IF(Q107&lt;0,"NEVER",IF(Q107&lt;=Summary!$B$12,"OK","OVER LIMIT"))</f>
        <v/>
      </c>
      <c r="T107" s="16">
        <f>IF(AND(M107="MATCH",P107="MATCH",S107="OK"),"PASS","FAIL")</f>
        <v/>
      </c>
    </row>
    <row r="108">
      <c r="A108" s="16" t="n">
        <v>1</v>
      </c>
      <c r="B108" s="5" t="inlineStr">
        <is>
          <t>2026-10-22 16:04:25</t>
        </is>
      </c>
      <c r="C108" s="5" t="inlineStr">
        <is>
          <t>input_vectors.hex</t>
        </is>
      </c>
      <c r="D108" s="16" t="n">
        <v>106</v>
      </c>
      <c r="E108" s="16" t="inlineStr">
        <is>
          <t>Mid-stream</t>
        </is>
      </c>
      <c r="F108" s="17" t="inlineStr">
        <is>
          <t>EFC89849</t>
        </is>
      </c>
      <c r="G108" s="17">
        <f>MID(F108,1,2)</f>
        <v/>
      </c>
      <c r="H108" s="17">
        <f>MID(F108,3,2)</f>
        <v/>
      </c>
      <c r="I108" s="17">
        <f>MID(F108,5,2)</f>
        <v/>
      </c>
      <c r="J108" s="17">
        <f>MID(F108,7,2)</f>
        <v/>
      </c>
      <c r="K108" s="17" t="inlineStr">
        <is>
          <t>EFC89849</t>
        </is>
      </c>
      <c r="L108" s="17" t="inlineStr">
        <is>
          <t>EFC89849</t>
        </is>
      </c>
      <c r="M108" s="16">
        <f>IF(K108=L108,"MATCH","MISMATCH")</f>
        <v/>
      </c>
      <c r="N108" s="18" t="inlineStr">
        <is>
          <t>11101111110010001001100001001001</t>
        </is>
      </c>
      <c r="O108" s="18" t="inlineStr">
        <is>
          <t>11101111110010001001100001001001</t>
        </is>
      </c>
      <c r="P108" s="16">
        <f>IF(N108=O108,"MATCH","MISMATCH")</f>
        <v/>
      </c>
      <c r="Q108" s="16" t="n">
        <v>40</v>
      </c>
      <c r="R108" s="12">
        <f>IF(Q108&lt;0,"n/a",Q108*Summary!$B$11)</f>
        <v/>
      </c>
      <c r="S108" s="16">
        <f>IF(Q108&lt;0,"NEVER",IF(Q108&lt;=Summary!$B$12,"OK","OVER LIMIT"))</f>
        <v/>
      </c>
      <c r="T108" s="16">
        <f>IF(AND(M108="MATCH",P108="MATCH",S108="OK"),"PASS","FAIL")</f>
        <v/>
      </c>
    </row>
    <row r="109">
      <c r="A109" s="16" t="n">
        <v>1</v>
      </c>
      <c r="B109" s="5" t="inlineStr">
        <is>
          <t>2026-10-22 16:04:25</t>
        </is>
      </c>
      <c r="C109" s="5" t="inlineStr">
        <is>
          <t>input_vectors.hex</t>
        </is>
      </c>
      <c r="D109" s="16" t="n">
        <v>107</v>
      </c>
      <c r="E109" s="16" t="inlineStr">
        <is>
          <t>Mid-stream</t>
        </is>
      </c>
      <c r="F109" s="17" t="inlineStr">
        <is>
          <t>AEFCFAD8</t>
        </is>
      </c>
      <c r="G109" s="17">
        <f>MID(F109,1,2)</f>
        <v/>
      </c>
      <c r="H109" s="17">
        <f>MID(F109,3,2)</f>
        <v/>
      </c>
      <c r="I109" s="17">
        <f>MID(F109,5,2)</f>
        <v/>
      </c>
      <c r="J109" s="17">
        <f>MID(F109,7,2)</f>
        <v/>
      </c>
      <c r="K109" s="17" t="inlineStr">
        <is>
          <t>AEFCFAD8</t>
        </is>
      </c>
      <c r="L109" s="17" t="inlineStr">
        <is>
          <t>AEFCFAD8</t>
        </is>
      </c>
      <c r="M109" s="16">
        <f>IF(K109=L109,"MATCH","MISMATCH")</f>
        <v/>
      </c>
      <c r="N109" s="18" t="inlineStr">
        <is>
          <t>10101110111111001111101011011000</t>
        </is>
      </c>
      <c r="O109" s="18" t="inlineStr">
        <is>
          <t>10101110111111001111101011011000</t>
        </is>
      </c>
      <c r="P109" s="16">
        <f>IF(N109=O109,"MATCH","MISMATCH")</f>
        <v/>
      </c>
      <c r="Q109" s="16" t="n">
        <v>40</v>
      </c>
      <c r="R109" s="12">
        <f>IF(Q109&lt;0,"n/a",Q109*Summary!$B$11)</f>
        <v/>
      </c>
      <c r="S109" s="16">
        <f>IF(Q109&lt;0,"NEVER",IF(Q109&lt;=Summary!$B$12,"OK","OVER LIMIT"))</f>
        <v/>
      </c>
      <c r="T109" s="16">
        <f>IF(AND(M109="MATCH",P109="MATCH",S109="OK"),"PASS","FAIL")</f>
        <v/>
      </c>
    </row>
    <row r="110">
      <c r="A110" s="16" t="n">
        <v>1</v>
      </c>
      <c r="B110" s="5" t="inlineStr">
        <is>
          <t>2026-10-22 16:04:25</t>
        </is>
      </c>
      <c r="C110" s="5" t="inlineStr">
        <is>
          <t>input_vectors.hex</t>
        </is>
      </c>
      <c r="D110" s="16" t="n">
        <v>108</v>
      </c>
      <c r="E110" s="16" t="inlineStr">
        <is>
          <t>Mid-stream</t>
        </is>
      </c>
      <c r="F110" s="17" t="inlineStr">
        <is>
          <t>A5E5A5AB</t>
        </is>
      </c>
      <c r="G110" s="17">
        <f>MID(F110,1,2)</f>
        <v/>
      </c>
      <c r="H110" s="17">
        <f>MID(F110,3,2)</f>
        <v/>
      </c>
      <c r="I110" s="17">
        <f>MID(F110,5,2)</f>
        <v/>
      </c>
      <c r="J110" s="17">
        <f>MID(F110,7,2)</f>
        <v/>
      </c>
      <c r="K110" s="17" t="inlineStr">
        <is>
          <t>A5E5A5AB</t>
        </is>
      </c>
      <c r="L110" s="17" t="inlineStr">
        <is>
          <t>A5E5A5AB</t>
        </is>
      </c>
      <c r="M110" s="16">
        <f>IF(K110=L110,"MATCH","MISMATCH")</f>
        <v/>
      </c>
      <c r="N110" s="18" t="inlineStr">
        <is>
          <t>10100101111001011010010110101011</t>
        </is>
      </c>
      <c r="O110" s="18" t="inlineStr">
        <is>
          <t>10100101111001011010010110101011</t>
        </is>
      </c>
      <c r="P110" s="16">
        <f>IF(N110=O110,"MATCH","MISMATCH")</f>
        <v/>
      </c>
      <c r="Q110" s="16" t="n">
        <v>40</v>
      </c>
      <c r="R110" s="12">
        <f>IF(Q110&lt;0,"n/a",Q110*Summary!$B$11)</f>
        <v/>
      </c>
      <c r="S110" s="16">
        <f>IF(Q110&lt;0,"NEVER",IF(Q110&lt;=Summary!$B$12,"OK","OVER LIMIT"))</f>
        <v/>
      </c>
      <c r="T110" s="16">
        <f>IF(AND(M110="MATCH",P110="MATCH",S110="OK"),"PASS","FAIL")</f>
        <v/>
      </c>
    </row>
    <row r="111">
      <c r="A111" s="16" t="n">
        <v>1</v>
      </c>
      <c r="B111" s="5" t="inlineStr">
        <is>
          <t>2026-10-22 16:04:25</t>
        </is>
      </c>
      <c r="C111" s="5" t="inlineStr">
        <is>
          <t>input_vectors.hex</t>
        </is>
      </c>
      <c r="D111" s="16" t="n">
        <v>109</v>
      </c>
      <c r="E111" s="16" t="inlineStr">
        <is>
          <t>Mid-stream</t>
        </is>
      </c>
      <c r="F111" s="17" t="inlineStr">
        <is>
          <t>12476F57</t>
        </is>
      </c>
      <c r="G111" s="17">
        <f>MID(F111,1,2)</f>
        <v/>
      </c>
      <c r="H111" s="17">
        <f>MID(F111,3,2)</f>
        <v/>
      </c>
      <c r="I111" s="17">
        <f>MID(F111,5,2)</f>
        <v/>
      </c>
      <c r="J111" s="17">
        <f>MID(F111,7,2)</f>
        <v/>
      </c>
      <c r="K111" s="17" t="inlineStr">
        <is>
          <t>12476F57</t>
        </is>
      </c>
      <c r="L111" s="17" t="inlineStr">
        <is>
          <t>12476F57</t>
        </is>
      </c>
      <c r="M111" s="16">
        <f>IF(K111=L111,"MATCH","MISMATCH")</f>
        <v/>
      </c>
      <c r="N111" s="18" t="inlineStr">
        <is>
          <t>00010010010001110110111101010111</t>
        </is>
      </c>
      <c r="O111" s="18" t="inlineStr">
        <is>
          <t>00010010010001110110111101010111</t>
        </is>
      </c>
      <c r="P111" s="16">
        <f>IF(N111=O111,"MATCH","MISMATCH")</f>
        <v/>
      </c>
      <c r="Q111" s="16" t="n">
        <v>40</v>
      </c>
      <c r="R111" s="12">
        <f>IF(Q111&lt;0,"n/a",Q111*Summary!$B$11)</f>
        <v/>
      </c>
      <c r="S111" s="16">
        <f>IF(Q111&lt;0,"NEVER",IF(Q111&lt;=Summary!$B$12,"OK","OVER LIMIT"))</f>
        <v/>
      </c>
      <c r="T111" s="16">
        <f>IF(AND(M111="MATCH",P111="MATCH",S111="OK"),"PASS","FAIL")</f>
        <v/>
      </c>
    </row>
    <row r="112">
      <c r="A112" s="16" t="n">
        <v>1</v>
      </c>
      <c r="B112" s="5" t="inlineStr">
        <is>
          <t>2026-10-22 16:04:25</t>
        </is>
      </c>
      <c r="C112" s="5" t="inlineStr">
        <is>
          <t>input_vectors.hex</t>
        </is>
      </c>
      <c r="D112" s="16" t="n">
        <v>110</v>
      </c>
      <c r="E112" s="16" t="inlineStr">
        <is>
          <t>Mid-stream</t>
        </is>
      </c>
      <c r="F112" s="17" t="inlineStr">
        <is>
          <t>9BF00273</t>
        </is>
      </c>
      <c r="G112" s="17">
        <f>MID(F112,1,2)</f>
        <v/>
      </c>
      <c r="H112" s="17">
        <f>MID(F112,3,2)</f>
        <v/>
      </c>
      <c r="I112" s="17">
        <f>MID(F112,5,2)</f>
        <v/>
      </c>
      <c r="J112" s="17">
        <f>MID(F112,7,2)</f>
        <v/>
      </c>
      <c r="K112" s="17" t="inlineStr">
        <is>
          <t>9BF00273</t>
        </is>
      </c>
      <c r="L112" s="17" t="inlineStr">
        <is>
          <t>9BF00273</t>
        </is>
      </c>
      <c r="M112" s="16">
        <f>IF(K112=L112,"MATCH","MISMATCH")</f>
        <v/>
      </c>
      <c r="N112" s="18" t="inlineStr">
        <is>
          <t>10011011111100000000001001110011</t>
        </is>
      </c>
      <c r="O112" s="18" t="inlineStr">
        <is>
          <t>10011011111100000000001001110011</t>
        </is>
      </c>
      <c r="P112" s="16">
        <f>IF(N112=O112,"MATCH","MISMATCH")</f>
        <v/>
      </c>
      <c r="Q112" s="16" t="n">
        <v>40</v>
      </c>
      <c r="R112" s="12">
        <f>IF(Q112&lt;0,"n/a",Q112*Summary!$B$11)</f>
        <v/>
      </c>
      <c r="S112" s="16">
        <f>IF(Q112&lt;0,"NEVER",IF(Q112&lt;=Summary!$B$12,"OK","OVER LIMIT"))</f>
        <v/>
      </c>
      <c r="T112" s="16">
        <f>IF(AND(M112="MATCH",P112="MATCH",S112="OK"),"PASS","FAIL")</f>
        <v/>
      </c>
    </row>
    <row r="113">
      <c r="A113" s="16" t="n">
        <v>1</v>
      </c>
      <c r="B113" s="5" t="inlineStr">
        <is>
          <t>2026-10-22 16:04:25</t>
        </is>
      </c>
      <c r="C113" s="5" t="inlineStr">
        <is>
          <t>input_vectors.hex</t>
        </is>
      </c>
      <c r="D113" s="16" t="n">
        <v>111</v>
      </c>
      <c r="E113" s="16" t="inlineStr">
        <is>
          <t>Mid-stream</t>
        </is>
      </c>
      <c r="F113" s="17" t="inlineStr">
        <is>
          <t>A28DEFE3</t>
        </is>
      </c>
      <c r="G113" s="17">
        <f>MID(F113,1,2)</f>
        <v/>
      </c>
      <c r="H113" s="17">
        <f>MID(F113,3,2)</f>
        <v/>
      </c>
      <c r="I113" s="17">
        <f>MID(F113,5,2)</f>
        <v/>
      </c>
      <c r="J113" s="17">
        <f>MID(F113,7,2)</f>
        <v/>
      </c>
      <c r="K113" s="17" t="inlineStr">
        <is>
          <t>A28DEFE3</t>
        </is>
      </c>
      <c r="L113" s="17" t="inlineStr">
        <is>
          <t>A28DEFE3</t>
        </is>
      </c>
      <c r="M113" s="16">
        <f>IF(K113=L113,"MATCH","MISMATCH")</f>
        <v/>
      </c>
      <c r="N113" s="18" t="inlineStr">
        <is>
          <t>10100010100011011110111111100011</t>
        </is>
      </c>
      <c r="O113" s="18" t="inlineStr">
        <is>
          <t>10100010100011011110111111100011</t>
        </is>
      </c>
      <c r="P113" s="16">
        <f>IF(N113=O113,"MATCH","MISMATCH")</f>
        <v/>
      </c>
      <c r="Q113" s="16" t="n">
        <v>40</v>
      </c>
      <c r="R113" s="12">
        <f>IF(Q113&lt;0,"n/a",Q113*Summary!$B$11)</f>
        <v/>
      </c>
      <c r="S113" s="16">
        <f>IF(Q113&lt;0,"NEVER",IF(Q113&lt;=Summary!$B$12,"OK","OVER LIMIT"))</f>
        <v/>
      </c>
      <c r="T113" s="16">
        <f>IF(AND(M113="MATCH",P113="MATCH",S113="OK"),"PASS","FAIL")</f>
        <v/>
      </c>
    </row>
    <row r="114">
      <c r="A114" s="16" t="n">
        <v>1</v>
      </c>
      <c r="B114" s="5" t="inlineStr">
        <is>
          <t>2026-10-22 16:04:25</t>
        </is>
      </c>
      <c r="C114" s="5" t="inlineStr">
        <is>
          <t>input_vectors.hex</t>
        </is>
      </c>
      <c r="D114" s="16" t="n">
        <v>112</v>
      </c>
      <c r="E114" s="16" t="inlineStr">
        <is>
          <t>Mid-stream</t>
        </is>
      </c>
      <c r="F114" s="17" t="inlineStr">
        <is>
          <t>2BCFBE01</t>
        </is>
      </c>
      <c r="G114" s="17">
        <f>MID(F114,1,2)</f>
        <v/>
      </c>
      <c r="H114" s="17">
        <f>MID(F114,3,2)</f>
        <v/>
      </c>
      <c r="I114" s="17">
        <f>MID(F114,5,2)</f>
        <v/>
      </c>
      <c r="J114" s="17">
        <f>MID(F114,7,2)</f>
        <v/>
      </c>
      <c r="K114" s="17" t="inlineStr">
        <is>
          <t>2BCFBE01</t>
        </is>
      </c>
      <c r="L114" s="17" t="inlineStr">
        <is>
          <t>2BCFBE01</t>
        </is>
      </c>
      <c r="M114" s="16">
        <f>IF(K114=L114,"MATCH","MISMATCH")</f>
        <v/>
      </c>
      <c r="N114" s="18" t="inlineStr">
        <is>
          <t>00101011110011111011111000000001</t>
        </is>
      </c>
      <c r="O114" s="18" t="inlineStr">
        <is>
          <t>00101011110011111011111000000001</t>
        </is>
      </c>
      <c r="P114" s="16">
        <f>IF(N114=O114,"MATCH","MISMATCH")</f>
        <v/>
      </c>
      <c r="Q114" s="16" t="n">
        <v>40</v>
      </c>
      <c r="R114" s="12">
        <f>IF(Q114&lt;0,"n/a",Q114*Summary!$B$11)</f>
        <v/>
      </c>
      <c r="S114" s="16">
        <f>IF(Q114&lt;0,"NEVER",IF(Q114&lt;=Summary!$B$12,"OK","OVER LIMIT"))</f>
        <v/>
      </c>
      <c r="T114" s="16">
        <f>IF(AND(M114="MATCH",P114="MATCH",S114="OK"),"PASS","FAIL")</f>
        <v/>
      </c>
    </row>
    <row r="115">
      <c r="A115" s="16" t="n">
        <v>1</v>
      </c>
      <c r="B115" s="5" t="inlineStr">
        <is>
          <t>2026-10-22 16:04:25</t>
        </is>
      </c>
      <c r="C115" s="5" t="inlineStr">
        <is>
          <t>input_vectors.hex</t>
        </is>
      </c>
      <c r="D115" s="16" t="n">
        <v>113</v>
      </c>
      <c r="E115" s="16" t="inlineStr">
        <is>
          <t>Mid-stream</t>
        </is>
      </c>
      <c r="F115" s="17" t="inlineStr">
        <is>
          <t>88BD6407</t>
        </is>
      </c>
      <c r="G115" s="17">
        <f>MID(F115,1,2)</f>
        <v/>
      </c>
      <c r="H115" s="17">
        <f>MID(F115,3,2)</f>
        <v/>
      </c>
      <c r="I115" s="17">
        <f>MID(F115,5,2)</f>
        <v/>
      </c>
      <c r="J115" s="17">
        <f>MID(F115,7,2)</f>
        <v/>
      </c>
      <c r="K115" s="17" t="inlineStr">
        <is>
          <t>88BD6407</t>
        </is>
      </c>
      <c r="L115" s="17" t="inlineStr">
        <is>
          <t>88BD6407</t>
        </is>
      </c>
      <c r="M115" s="16">
        <f>IF(K115=L115,"MATCH","MISMATCH")</f>
        <v/>
      </c>
      <c r="N115" s="18" t="inlineStr">
        <is>
          <t>10001000101111010110010000000111</t>
        </is>
      </c>
      <c r="O115" s="18" t="inlineStr">
        <is>
          <t>10001000101111010110010000000111</t>
        </is>
      </c>
      <c r="P115" s="16">
        <f>IF(N115=O115,"MATCH","MISMATCH")</f>
        <v/>
      </c>
      <c r="Q115" s="16" t="n">
        <v>40</v>
      </c>
      <c r="R115" s="12">
        <f>IF(Q115&lt;0,"n/a",Q115*Summary!$B$11)</f>
        <v/>
      </c>
      <c r="S115" s="16">
        <f>IF(Q115&lt;0,"NEVER",IF(Q115&lt;=Summary!$B$12,"OK","OVER LIMIT"))</f>
        <v/>
      </c>
      <c r="T115" s="16">
        <f>IF(AND(M115="MATCH",P115="MATCH",S115="OK"),"PASS","FAIL")</f>
        <v/>
      </c>
    </row>
    <row r="116">
      <c r="A116" s="16" t="n">
        <v>1</v>
      </c>
      <c r="B116" s="5" t="inlineStr">
        <is>
          <t>2026-10-22 16:04:25</t>
        </is>
      </c>
      <c r="C116" s="5" t="inlineStr">
        <is>
          <t>input_vectors.hex</t>
        </is>
      </c>
      <c r="D116" s="16" t="n">
        <v>114</v>
      </c>
      <c r="E116" s="16" t="inlineStr">
        <is>
          <t>Mid-stream</t>
        </is>
      </c>
      <c r="F116" s="17" t="inlineStr">
        <is>
          <t>BAA80DD4</t>
        </is>
      </c>
      <c r="G116" s="17">
        <f>MID(F116,1,2)</f>
        <v/>
      </c>
      <c r="H116" s="17">
        <f>MID(F116,3,2)</f>
        <v/>
      </c>
      <c r="I116" s="17">
        <f>MID(F116,5,2)</f>
        <v/>
      </c>
      <c r="J116" s="17">
        <f>MID(F116,7,2)</f>
        <v/>
      </c>
      <c r="K116" s="17" t="inlineStr">
        <is>
          <t>BAA80DD4</t>
        </is>
      </c>
      <c r="L116" s="17" t="inlineStr">
        <is>
          <t>BAA80DD4</t>
        </is>
      </c>
      <c r="M116" s="16">
        <f>IF(K116=L116,"MATCH","MISMATCH")</f>
        <v/>
      </c>
      <c r="N116" s="18" t="inlineStr">
        <is>
          <t>10111010101010000000110111010100</t>
        </is>
      </c>
      <c r="O116" s="18" t="inlineStr">
        <is>
          <t>10111010101010000000110111010100</t>
        </is>
      </c>
      <c r="P116" s="16">
        <f>IF(N116=O116,"MATCH","MISMATCH")</f>
        <v/>
      </c>
      <c r="Q116" s="16" t="n">
        <v>40</v>
      </c>
      <c r="R116" s="12">
        <f>IF(Q116&lt;0,"n/a",Q116*Summary!$B$11)</f>
        <v/>
      </c>
      <c r="S116" s="16">
        <f>IF(Q116&lt;0,"NEVER",IF(Q116&lt;=Summary!$B$12,"OK","OVER LIMIT"))</f>
        <v/>
      </c>
      <c r="T116" s="16">
        <f>IF(AND(M116="MATCH",P116="MATCH",S116="OK"),"PASS","FAIL")</f>
        <v/>
      </c>
    </row>
    <row r="117">
      <c r="A117" s="16" t="n">
        <v>1</v>
      </c>
      <c r="B117" s="5" t="inlineStr">
        <is>
          <t>2026-10-22 16:04:25</t>
        </is>
      </c>
      <c r="C117" s="5" t="inlineStr">
        <is>
          <t>input_vectors.hex</t>
        </is>
      </c>
      <c r="D117" s="16" t="n">
        <v>115</v>
      </c>
      <c r="E117" s="16" t="inlineStr">
        <is>
          <t>Mid-stream</t>
        </is>
      </c>
      <c r="F117" s="17" t="inlineStr">
        <is>
          <t>3EABEDCB</t>
        </is>
      </c>
      <c r="G117" s="17">
        <f>MID(F117,1,2)</f>
        <v/>
      </c>
      <c r="H117" s="17">
        <f>MID(F117,3,2)</f>
        <v/>
      </c>
      <c r="I117" s="17">
        <f>MID(F117,5,2)</f>
        <v/>
      </c>
      <c r="J117" s="17">
        <f>MID(F117,7,2)</f>
        <v/>
      </c>
      <c r="K117" s="17" t="inlineStr">
        <is>
          <t>3EABEDCB</t>
        </is>
      </c>
      <c r="L117" s="17" t="inlineStr">
        <is>
          <t>3EABEDCB</t>
        </is>
      </c>
      <c r="M117" s="16">
        <f>IF(K117=L117,"MATCH","MISMATCH")</f>
        <v/>
      </c>
      <c r="N117" s="18" t="inlineStr">
        <is>
          <t>00111110101010111110110111001011</t>
        </is>
      </c>
      <c r="O117" s="18" t="inlineStr">
        <is>
          <t>00111110101010111110110111001011</t>
        </is>
      </c>
      <c r="P117" s="16">
        <f>IF(N117=O117,"MATCH","MISMATCH")</f>
        <v/>
      </c>
      <c r="Q117" s="16" t="n">
        <v>40</v>
      </c>
      <c r="R117" s="12">
        <f>IF(Q117&lt;0,"n/a",Q117*Summary!$B$11)</f>
        <v/>
      </c>
      <c r="S117" s="16">
        <f>IF(Q117&lt;0,"NEVER",IF(Q117&lt;=Summary!$B$12,"OK","OVER LIMIT"))</f>
        <v/>
      </c>
      <c r="T117" s="16">
        <f>IF(AND(M117="MATCH",P117="MATCH",S117="OK"),"PASS","FAIL")</f>
        <v/>
      </c>
    </row>
    <row r="118">
      <c r="A118" s="16" t="n">
        <v>1</v>
      </c>
      <c r="B118" s="5" t="inlineStr">
        <is>
          <t>2026-10-22 16:04:25</t>
        </is>
      </c>
      <c r="C118" s="5" t="inlineStr">
        <is>
          <t>input_vectors.hex</t>
        </is>
      </c>
      <c r="D118" s="16" t="n">
        <v>116</v>
      </c>
      <c r="E118" s="16" t="inlineStr">
        <is>
          <t>Mid-stream</t>
        </is>
      </c>
      <c r="F118" s="17" t="inlineStr">
        <is>
          <t>29D4BEEF</t>
        </is>
      </c>
      <c r="G118" s="17">
        <f>MID(F118,1,2)</f>
        <v/>
      </c>
      <c r="H118" s="17">
        <f>MID(F118,3,2)</f>
        <v/>
      </c>
      <c r="I118" s="17">
        <f>MID(F118,5,2)</f>
        <v/>
      </c>
      <c r="J118" s="17">
        <f>MID(F118,7,2)</f>
        <v/>
      </c>
      <c r="K118" s="17" t="inlineStr">
        <is>
          <t>29D4BEEF</t>
        </is>
      </c>
      <c r="L118" s="17" t="inlineStr">
        <is>
          <t>29D4BEEF</t>
        </is>
      </c>
      <c r="M118" s="16">
        <f>IF(K118=L118,"MATCH","MISMATCH")</f>
        <v/>
      </c>
      <c r="N118" s="18" t="inlineStr">
        <is>
          <t>00101001110101001011111011101111</t>
        </is>
      </c>
      <c r="O118" s="18" t="inlineStr">
        <is>
          <t>00101001110101001011111011101111</t>
        </is>
      </c>
      <c r="P118" s="16">
        <f>IF(N118=O118,"MATCH","MISMATCH")</f>
        <v/>
      </c>
      <c r="Q118" s="16" t="n">
        <v>40</v>
      </c>
      <c r="R118" s="12">
        <f>IF(Q118&lt;0,"n/a",Q118*Summary!$B$11)</f>
        <v/>
      </c>
      <c r="S118" s="16">
        <f>IF(Q118&lt;0,"NEVER",IF(Q118&lt;=Summary!$B$12,"OK","OVER LIMIT"))</f>
        <v/>
      </c>
      <c r="T118" s="16">
        <f>IF(AND(M118="MATCH",P118="MATCH",S118="OK"),"PASS","FAIL")</f>
        <v/>
      </c>
    </row>
    <row r="119">
      <c r="A119" s="16" t="n">
        <v>1</v>
      </c>
      <c r="B119" s="5" t="inlineStr">
        <is>
          <t>2026-10-22 16:04:25</t>
        </is>
      </c>
      <c r="C119" s="5" t="inlineStr">
        <is>
          <t>input_vectors.hex</t>
        </is>
      </c>
      <c r="D119" s="16" t="n">
        <v>117</v>
      </c>
      <c r="E119" s="16" t="inlineStr">
        <is>
          <t>Mid-stream</t>
        </is>
      </c>
      <c r="F119" s="17" t="inlineStr">
        <is>
          <t>7656AF72</t>
        </is>
      </c>
      <c r="G119" s="17">
        <f>MID(F119,1,2)</f>
        <v/>
      </c>
      <c r="H119" s="17">
        <f>MID(F119,3,2)</f>
        <v/>
      </c>
      <c r="I119" s="17">
        <f>MID(F119,5,2)</f>
        <v/>
      </c>
      <c r="J119" s="17">
        <f>MID(F119,7,2)</f>
        <v/>
      </c>
      <c r="K119" s="17" t="inlineStr">
        <is>
          <t>7656AF72</t>
        </is>
      </c>
      <c r="L119" s="17" t="inlineStr">
        <is>
          <t>7656AF72</t>
        </is>
      </c>
      <c r="M119" s="16">
        <f>IF(K119=L119,"MATCH","MISMATCH")</f>
        <v/>
      </c>
      <c r="N119" s="18" t="inlineStr">
        <is>
          <t>01110110010101101010111101110010</t>
        </is>
      </c>
      <c r="O119" s="18" t="inlineStr">
        <is>
          <t>01110110010101101010111101110010</t>
        </is>
      </c>
      <c r="P119" s="16">
        <f>IF(N119=O119,"MATCH","MISMATCH")</f>
        <v/>
      </c>
      <c r="Q119" s="16" t="n">
        <v>40</v>
      </c>
      <c r="R119" s="12">
        <f>IF(Q119&lt;0,"n/a",Q119*Summary!$B$11)</f>
        <v/>
      </c>
      <c r="S119" s="16">
        <f>IF(Q119&lt;0,"NEVER",IF(Q119&lt;=Summary!$B$12,"OK","OVER LIMIT"))</f>
        <v/>
      </c>
      <c r="T119" s="16">
        <f>IF(AND(M119="MATCH",P119="MATCH",S119="OK"),"PASS","FAIL")</f>
        <v/>
      </c>
    </row>
    <row r="120">
      <c r="A120" s="16" t="n">
        <v>1</v>
      </c>
      <c r="B120" s="5" t="inlineStr">
        <is>
          <t>2026-10-22 16:04:25</t>
        </is>
      </c>
      <c r="C120" s="5" t="inlineStr">
        <is>
          <t>input_vectors.hex</t>
        </is>
      </c>
      <c r="D120" s="16" t="n">
        <v>118</v>
      </c>
      <c r="E120" s="16" t="inlineStr">
        <is>
          <t>Mid-stream</t>
        </is>
      </c>
      <c r="F120" s="17" t="inlineStr">
        <is>
          <t>6123FDF7</t>
        </is>
      </c>
      <c r="G120" s="17">
        <f>MID(F120,1,2)</f>
        <v/>
      </c>
      <c r="H120" s="17">
        <f>MID(F120,3,2)</f>
        <v/>
      </c>
      <c r="I120" s="17">
        <f>MID(F120,5,2)</f>
        <v/>
      </c>
      <c r="J120" s="17">
        <f>MID(F120,7,2)</f>
        <v/>
      </c>
      <c r="K120" s="17" t="inlineStr">
        <is>
          <t>6123FDF7</t>
        </is>
      </c>
      <c r="L120" s="17" t="inlineStr">
        <is>
          <t>6123FDF7</t>
        </is>
      </c>
      <c r="M120" s="16">
        <f>IF(K120=L120,"MATCH","MISMATCH")</f>
        <v/>
      </c>
      <c r="N120" s="18" t="inlineStr">
        <is>
          <t>01100001001000111111110111110111</t>
        </is>
      </c>
      <c r="O120" s="18" t="inlineStr">
        <is>
          <t>01100001001000111111110111110111</t>
        </is>
      </c>
      <c r="P120" s="16">
        <f>IF(N120=O120,"MATCH","MISMATCH")</f>
        <v/>
      </c>
      <c r="Q120" s="16" t="n">
        <v>40</v>
      </c>
      <c r="R120" s="12">
        <f>IF(Q120&lt;0,"n/a",Q120*Summary!$B$11)</f>
        <v/>
      </c>
      <c r="S120" s="16">
        <f>IF(Q120&lt;0,"NEVER",IF(Q120&lt;=Summary!$B$12,"OK","OVER LIMIT"))</f>
        <v/>
      </c>
      <c r="T120" s="16">
        <f>IF(AND(M120="MATCH",P120="MATCH",S120="OK"),"PASS","FAIL")</f>
        <v/>
      </c>
    </row>
    <row r="121">
      <c r="A121" s="16" t="n">
        <v>1</v>
      </c>
      <c r="B121" s="5" t="inlineStr">
        <is>
          <t>2026-10-22 16:04:25</t>
        </is>
      </c>
      <c r="C121" s="5" t="inlineStr">
        <is>
          <t>input_vectors.hex</t>
        </is>
      </c>
      <c r="D121" s="16" t="n">
        <v>119</v>
      </c>
      <c r="E121" s="16" t="inlineStr">
        <is>
          <t>Mid-stream</t>
        </is>
      </c>
      <c r="F121" s="17" t="inlineStr">
        <is>
          <t>451B4CF3</t>
        </is>
      </c>
      <c r="G121" s="17">
        <f>MID(F121,1,2)</f>
        <v/>
      </c>
      <c r="H121" s="17">
        <f>MID(F121,3,2)</f>
        <v/>
      </c>
      <c r="I121" s="17">
        <f>MID(F121,5,2)</f>
        <v/>
      </c>
      <c r="J121" s="17">
        <f>MID(F121,7,2)</f>
        <v/>
      </c>
      <c r="K121" s="17" t="inlineStr">
        <is>
          <t>451B4CF3</t>
        </is>
      </c>
      <c r="L121" s="17" t="inlineStr">
        <is>
          <t>451B4CF3</t>
        </is>
      </c>
      <c r="M121" s="16">
        <f>IF(K121=L121,"MATCH","MISMATCH")</f>
        <v/>
      </c>
      <c r="N121" s="18" t="inlineStr">
        <is>
          <t>01000101000110110100110011110011</t>
        </is>
      </c>
      <c r="O121" s="18" t="inlineStr">
        <is>
          <t>01000101000110110100110011110011</t>
        </is>
      </c>
      <c r="P121" s="16">
        <f>IF(N121=O121,"MATCH","MISMATCH")</f>
        <v/>
      </c>
      <c r="Q121" s="16" t="n">
        <v>40</v>
      </c>
      <c r="R121" s="12">
        <f>IF(Q121&lt;0,"n/a",Q121*Summary!$B$11)</f>
        <v/>
      </c>
      <c r="S121" s="16">
        <f>IF(Q121&lt;0,"NEVER",IF(Q121&lt;=Summary!$B$12,"OK","OVER LIMIT"))</f>
        <v/>
      </c>
      <c r="T121" s="16">
        <f>IF(AND(M121="MATCH",P121="MATCH",S121="OK"),"PASS","FAIL")</f>
        <v/>
      </c>
    </row>
    <row r="122">
      <c r="A122" s="16" t="n">
        <v>1</v>
      </c>
      <c r="B122" s="5" t="inlineStr">
        <is>
          <t>2026-10-22 16:04:25</t>
        </is>
      </c>
      <c r="C122" s="5" t="inlineStr">
        <is>
          <t>input_vectors.hex</t>
        </is>
      </c>
      <c r="D122" s="16" t="n">
        <v>120</v>
      </c>
      <c r="E122" s="16" t="inlineStr">
        <is>
          <t>Mid-stream</t>
        </is>
      </c>
      <c r="F122" s="17" t="inlineStr">
        <is>
          <t>FD5166E6</t>
        </is>
      </c>
      <c r="G122" s="17">
        <f>MID(F122,1,2)</f>
        <v/>
      </c>
      <c r="H122" s="17">
        <f>MID(F122,3,2)</f>
        <v/>
      </c>
      <c r="I122" s="17">
        <f>MID(F122,5,2)</f>
        <v/>
      </c>
      <c r="J122" s="17">
        <f>MID(F122,7,2)</f>
        <v/>
      </c>
      <c r="K122" s="17" t="inlineStr">
        <is>
          <t>FD5166E6</t>
        </is>
      </c>
      <c r="L122" s="17" t="inlineStr">
        <is>
          <t>FD5166E6</t>
        </is>
      </c>
      <c r="M122" s="16">
        <f>IF(K122=L122,"MATCH","MISMATCH")</f>
        <v/>
      </c>
      <c r="N122" s="18" t="inlineStr">
        <is>
          <t>11111101010100010110011011100110</t>
        </is>
      </c>
      <c r="O122" s="18" t="inlineStr">
        <is>
          <t>11111101010100010110011011100110</t>
        </is>
      </c>
      <c r="P122" s="16">
        <f>IF(N122=O122,"MATCH","MISMATCH")</f>
        <v/>
      </c>
      <c r="Q122" s="16" t="n">
        <v>40</v>
      </c>
      <c r="R122" s="12">
        <f>IF(Q122&lt;0,"n/a",Q122*Summary!$B$11)</f>
        <v/>
      </c>
      <c r="S122" s="16">
        <f>IF(Q122&lt;0,"NEVER",IF(Q122&lt;=Summary!$B$12,"OK","OVER LIMIT"))</f>
        <v/>
      </c>
      <c r="T122" s="16">
        <f>IF(AND(M122="MATCH",P122="MATCH",S122="OK"),"PASS","FAIL")</f>
        <v/>
      </c>
    </row>
    <row r="123">
      <c r="A123" s="16" t="n">
        <v>1</v>
      </c>
      <c r="B123" s="5" t="inlineStr">
        <is>
          <t>2026-10-22 16:04:25</t>
        </is>
      </c>
      <c r="C123" s="5" t="inlineStr">
        <is>
          <t>input_vectors.hex</t>
        </is>
      </c>
      <c r="D123" s="16" t="n">
        <v>121</v>
      </c>
      <c r="E123" s="16" t="inlineStr">
        <is>
          <t>Mid-stream</t>
        </is>
      </c>
      <c r="F123" s="17" t="inlineStr">
        <is>
          <t>ECE66FA2</t>
        </is>
      </c>
      <c r="G123" s="17">
        <f>MID(F123,1,2)</f>
        <v/>
      </c>
      <c r="H123" s="17">
        <f>MID(F123,3,2)</f>
        <v/>
      </c>
      <c r="I123" s="17">
        <f>MID(F123,5,2)</f>
        <v/>
      </c>
      <c r="J123" s="17">
        <f>MID(F123,7,2)</f>
        <v/>
      </c>
      <c r="K123" s="17" t="inlineStr">
        <is>
          <t>ECE66FA2</t>
        </is>
      </c>
      <c r="L123" s="17" t="inlineStr">
        <is>
          <t>ECE66FA2</t>
        </is>
      </c>
      <c r="M123" s="16">
        <f>IF(K123=L123,"MATCH","MISMATCH")</f>
        <v/>
      </c>
      <c r="N123" s="18" t="inlineStr">
        <is>
          <t>11101100111001100110111110100010</t>
        </is>
      </c>
      <c r="O123" s="18" t="inlineStr">
        <is>
          <t>11101100111001100110111110100010</t>
        </is>
      </c>
      <c r="P123" s="16">
        <f>IF(N123=O123,"MATCH","MISMATCH")</f>
        <v/>
      </c>
      <c r="Q123" s="16" t="n">
        <v>40</v>
      </c>
      <c r="R123" s="12">
        <f>IF(Q123&lt;0,"n/a",Q123*Summary!$B$11)</f>
        <v/>
      </c>
      <c r="S123" s="16">
        <f>IF(Q123&lt;0,"NEVER",IF(Q123&lt;=Summary!$B$12,"OK","OVER LIMIT"))</f>
        <v/>
      </c>
      <c r="T123" s="16">
        <f>IF(AND(M123="MATCH",P123="MATCH",S123="OK"),"PASS","FAIL")</f>
        <v/>
      </c>
    </row>
    <row r="124">
      <c r="A124" s="16" t="n">
        <v>1</v>
      </c>
      <c r="B124" s="5" t="inlineStr">
        <is>
          <t>2026-10-22 16:04:25</t>
        </is>
      </c>
      <c r="C124" s="5" t="inlineStr">
        <is>
          <t>input_vectors.hex</t>
        </is>
      </c>
      <c r="D124" s="16" t="n">
        <v>122</v>
      </c>
      <c r="E124" s="16" t="inlineStr">
        <is>
          <t>Mid-stream</t>
        </is>
      </c>
      <c r="F124" s="17" t="inlineStr">
        <is>
          <t>A3D70628</t>
        </is>
      </c>
      <c r="G124" s="17">
        <f>MID(F124,1,2)</f>
        <v/>
      </c>
      <c r="H124" s="17">
        <f>MID(F124,3,2)</f>
        <v/>
      </c>
      <c r="I124" s="17">
        <f>MID(F124,5,2)</f>
        <v/>
      </c>
      <c r="J124" s="17">
        <f>MID(F124,7,2)</f>
        <v/>
      </c>
      <c r="K124" s="17" t="inlineStr">
        <is>
          <t>A3D70628</t>
        </is>
      </c>
      <c r="L124" s="17" t="inlineStr">
        <is>
          <t>A3D70628</t>
        </is>
      </c>
      <c r="M124" s="16">
        <f>IF(K124=L124,"MATCH","MISMATCH")</f>
        <v/>
      </c>
      <c r="N124" s="18" t="inlineStr">
        <is>
          <t>10100011110101110000011000101000</t>
        </is>
      </c>
      <c r="O124" s="18" t="inlineStr">
        <is>
          <t>10100011110101110000011000101000</t>
        </is>
      </c>
      <c r="P124" s="16">
        <f>IF(N124=O124,"MATCH","MISMATCH")</f>
        <v/>
      </c>
      <c r="Q124" s="16" t="n">
        <v>40</v>
      </c>
      <c r="R124" s="12">
        <f>IF(Q124&lt;0,"n/a",Q124*Summary!$B$11)</f>
        <v/>
      </c>
      <c r="S124" s="16">
        <f>IF(Q124&lt;0,"NEVER",IF(Q124&lt;=Summary!$B$12,"OK","OVER LIMIT"))</f>
        <v/>
      </c>
      <c r="T124" s="16">
        <f>IF(AND(M124="MATCH",P124="MATCH",S124="OK"),"PASS","FAIL")</f>
        <v/>
      </c>
    </row>
    <row r="125">
      <c r="A125" s="16" t="n">
        <v>1</v>
      </c>
      <c r="B125" s="5" t="inlineStr">
        <is>
          <t>2026-10-22 16:04:25</t>
        </is>
      </c>
      <c r="C125" s="5" t="inlineStr">
        <is>
          <t>input_vectors.hex</t>
        </is>
      </c>
      <c r="D125" s="16" t="n">
        <v>123</v>
      </c>
      <c r="E125" s="16" t="inlineStr">
        <is>
          <t>Mid-stream</t>
        </is>
      </c>
      <c r="F125" s="17" t="inlineStr">
        <is>
          <t>B02B61C4</t>
        </is>
      </c>
      <c r="G125" s="17">
        <f>MID(F125,1,2)</f>
        <v/>
      </c>
      <c r="H125" s="17">
        <f>MID(F125,3,2)</f>
        <v/>
      </c>
      <c r="I125" s="17">
        <f>MID(F125,5,2)</f>
        <v/>
      </c>
      <c r="J125" s="17">
        <f>MID(F125,7,2)</f>
        <v/>
      </c>
      <c r="K125" s="17" t="inlineStr">
        <is>
          <t>B02B61C4</t>
        </is>
      </c>
      <c r="L125" s="17" t="inlineStr">
        <is>
          <t>B02B61C4</t>
        </is>
      </c>
      <c r="M125" s="16">
        <f>IF(K125=L125,"MATCH","MISMATCH")</f>
        <v/>
      </c>
      <c r="N125" s="18" t="inlineStr">
        <is>
          <t>10110000001010110110000111000100</t>
        </is>
      </c>
      <c r="O125" s="18" t="inlineStr">
        <is>
          <t>10110000001010110110000111000100</t>
        </is>
      </c>
      <c r="P125" s="16">
        <f>IF(N125=O125,"MATCH","MISMATCH")</f>
        <v/>
      </c>
      <c r="Q125" s="16" t="n">
        <v>40</v>
      </c>
      <c r="R125" s="12">
        <f>IF(Q125&lt;0,"n/a",Q125*Summary!$B$11)</f>
        <v/>
      </c>
      <c r="S125" s="16">
        <f>IF(Q125&lt;0,"NEVER",IF(Q125&lt;=Summary!$B$12,"OK","OVER LIMIT"))</f>
        <v/>
      </c>
      <c r="T125" s="16">
        <f>IF(AND(M125="MATCH",P125="MATCH",S125="OK"),"PASS","FAIL")</f>
        <v/>
      </c>
    </row>
    <row r="126">
      <c r="A126" s="16" t="n">
        <v>1</v>
      </c>
      <c r="B126" s="5" t="inlineStr">
        <is>
          <t>2026-10-22 16:04:25</t>
        </is>
      </c>
      <c r="C126" s="5" t="inlineStr">
        <is>
          <t>input_vectors.hex</t>
        </is>
      </c>
      <c r="D126" s="16" t="n">
        <v>124</v>
      </c>
      <c r="E126" s="16" t="inlineStr">
        <is>
          <t>Mid-stream</t>
        </is>
      </c>
      <c r="F126" s="17" t="inlineStr">
        <is>
          <t>8E944239</t>
        </is>
      </c>
      <c r="G126" s="17">
        <f>MID(F126,1,2)</f>
        <v/>
      </c>
      <c r="H126" s="17">
        <f>MID(F126,3,2)</f>
        <v/>
      </c>
      <c r="I126" s="17">
        <f>MID(F126,5,2)</f>
        <v/>
      </c>
      <c r="J126" s="17">
        <f>MID(F126,7,2)</f>
        <v/>
      </c>
      <c r="K126" s="17" t="inlineStr">
        <is>
          <t>8E944239</t>
        </is>
      </c>
      <c r="L126" s="17" t="inlineStr">
        <is>
          <t>8E944239</t>
        </is>
      </c>
      <c r="M126" s="16">
        <f>IF(K126=L126,"MATCH","MISMATCH")</f>
        <v/>
      </c>
      <c r="N126" s="18" t="inlineStr">
        <is>
          <t>10001110100101000100001000111001</t>
        </is>
      </c>
      <c r="O126" s="18" t="inlineStr">
        <is>
          <t>10001110100101000100001000111001</t>
        </is>
      </c>
      <c r="P126" s="16">
        <f>IF(N126=O126,"MATCH","MISMATCH")</f>
        <v/>
      </c>
      <c r="Q126" s="16" t="n">
        <v>40</v>
      </c>
      <c r="R126" s="12">
        <f>IF(Q126&lt;0,"n/a",Q126*Summary!$B$11)</f>
        <v/>
      </c>
      <c r="S126" s="16">
        <f>IF(Q126&lt;0,"NEVER",IF(Q126&lt;=Summary!$B$12,"OK","OVER LIMIT"))</f>
        <v/>
      </c>
      <c r="T126" s="16">
        <f>IF(AND(M126="MATCH",P126="MATCH",S126="OK"),"PASS","FAIL")</f>
        <v/>
      </c>
    </row>
    <row r="127">
      <c r="A127" s="16" t="n">
        <v>1</v>
      </c>
      <c r="B127" s="5" t="inlineStr">
        <is>
          <t>2026-10-22 16:04:25</t>
        </is>
      </c>
      <c r="C127" s="5" t="inlineStr">
        <is>
          <t>input_vectors.hex</t>
        </is>
      </c>
      <c r="D127" s="16" t="n">
        <v>125</v>
      </c>
      <c r="E127" s="16" t="inlineStr">
        <is>
          <t>Mid-stream</t>
        </is>
      </c>
      <c r="F127" s="17" t="inlineStr">
        <is>
          <t>3838B326</t>
        </is>
      </c>
      <c r="G127" s="17">
        <f>MID(F127,1,2)</f>
        <v/>
      </c>
      <c r="H127" s="17">
        <f>MID(F127,3,2)</f>
        <v/>
      </c>
      <c r="I127" s="17">
        <f>MID(F127,5,2)</f>
        <v/>
      </c>
      <c r="J127" s="17">
        <f>MID(F127,7,2)</f>
        <v/>
      </c>
      <c r="K127" s="17" t="inlineStr">
        <is>
          <t>3838B326</t>
        </is>
      </c>
      <c r="L127" s="17" t="inlineStr">
        <is>
          <t>3838B326</t>
        </is>
      </c>
      <c r="M127" s="16">
        <f>IF(K127=L127,"MATCH","MISMATCH")</f>
        <v/>
      </c>
      <c r="N127" s="18" t="inlineStr">
        <is>
          <t>00111000001110001011001100100110</t>
        </is>
      </c>
      <c r="O127" s="18" t="inlineStr">
        <is>
          <t>00111000001110001011001100100110</t>
        </is>
      </c>
      <c r="P127" s="16">
        <f>IF(N127=O127,"MATCH","MISMATCH")</f>
        <v/>
      </c>
      <c r="Q127" s="16" t="n">
        <v>40</v>
      </c>
      <c r="R127" s="12">
        <f>IF(Q127&lt;0,"n/a",Q127*Summary!$B$11)</f>
        <v/>
      </c>
      <c r="S127" s="16">
        <f>IF(Q127&lt;0,"NEVER",IF(Q127&lt;=Summary!$B$12,"OK","OVER LIMIT"))</f>
        <v/>
      </c>
      <c r="T127" s="16">
        <f>IF(AND(M127="MATCH",P127="MATCH",S127="OK"),"PASS","FAIL")</f>
        <v/>
      </c>
    </row>
    <row r="128">
      <c r="A128" s="16" t="n">
        <v>1</v>
      </c>
      <c r="B128" s="5" t="inlineStr">
        <is>
          <t>2026-10-22 16:04:25</t>
        </is>
      </c>
      <c r="C128" s="5" t="inlineStr">
        <is>
          <t>input_vectors.hex</t>
        </is>
      </c>
      <c r="D128" s="16" t="n">
        <v>126</v>
      </c>
      <c r="E128" s="16" t="inlineStr">
        <is>
          <t>Mid-stream</t>
        </is>
      </c>
      <c r="F128" s="17" t="inlineStr">
        <is>
          <t>AF42E12F</t>
        </is>
      </c>
      <c r="G128" s="17">
        <f>MID(F128,1,2)</f>
        <v/>
      </c>
      <c r="H128" s="17">
        <f>MID(F128,3,2)</f>
        <v/>
      </c>
      <c r="I128" s="17">
        <f>MID(F128,5,2)</f>
        <v/>
      </c>
      <c r="J128" s="17">
        <f>MID(F128,7,2)</f>
        <v/>
      </c>
      <c r="K128" s="17" t="inlineStr">
        <is>
          <t>AF42E12F</t>
        </is>
      </c>
      <c r="L128" s="17" t="inlineStr">
        <is>
          <t>AF42E12F</t>
        </is>
      </c>
      <c r="M128" s="16">
        <f>IF(K128=L128,"MATCH","MISMATCH")</f>
        <v/>
      </c>
      <c r="N128" s="18" t="inlineStr">
        <is>
          <t>10101111010000101110000100101111</t>
        </is>
      </c>
      <c r="O128" s="18" t="inlineStr">
        <is>
          <t>10101111010000101110000100101111</t>
        </is>
      </c>
      <c r="P128" s="16">
        <f>IF(N128=O128,"MATCH","MISMATCH")</f>
        <v/>
      </c>
      <c r="Q128" s="16" t="n">
        <v>40</v>
      </c>
      <c r="R128" s="12">
        <f>IF(Q128&lt;0,"n/a",Q128*Summary!$B$11)</f>
        <v/>
      </c>
      <c r="S128" s="16">
        <f>IF(Q128&lt;0,"NEVER",IF(Q128&lt;=Summary!$B$12,"OK","OVER LIMIT"))</f>
        <v/>
      </c>
      <c r="T128" s="16">
        <f>IF(AND(M128="MATCH",P128="MATCH",S128="OK"),"PASS","FAIL")</f>
        <v/>
      </c>
    </row>
    <row r="129">
      <c r="A129" s="16" t="n">
        <v>1</v>
      </c>
      <c r="B129" s="5" t="inlineStr">
        <is>
          <t>2026-10-22 16:04:25</t>
        </is>
      </c>
      <c r="C129" s="5" t="inlineStr">
        <is>
          <t>input_vectors.hex</t>
        </is>
      </c>
      <c r="D129" s="16" t="n">
        <v>127</v>
      </c>
      <c r="E129" s="16" t="inlineStr">
        <is>
          <t>Mid-stream</t>
        </is>
      </c>
      <c r="F129" s="17" t="inlineStr">
        <is>
          <t>5304317F</t>
        </is>
      </c>
      <c r="G129" s="17">
        <f>MID(F129,1,2)</f>
        <v/>
      </c>
      <c r="H129" s="17">
        <f>MID(F129,3,2)</f>
        <v/>
      </c>
      <c r="I129" s="17">
        <f>MID(F129,5,2)</f>
        <v/>
      </c>
      <c r="J129" s="17">
        <f>MID(F129,7,2)</f>
        <v/>
      </c>
      <c r="K129" s="17" t="inlineStr">
        <is>
          <t>5304317F</t>
        </is>
      </c>
      <c r="L129" s="17" t="inlineStr">
        <is>
          <t>5304317F</t>
        </is>
      </c>
      <c r="M129" s="16">
        <f>IF(K129=L129,"MATCH","MISMATCH")</f>
        <v/>
      </c>
      <c r="N129" s="18" t="inlineStr">
        <is>
          <t>01010011000001000011000101111111</t>
        </is>
      </c>
      <c r="O129" s="18" t="inlineStr">
        <is>
          <t>01010011000001000011000101111111</t>
        </is>
      </c>
      <c r="P129" s="16">
        <f>IF(N129=O129,"MATCH","MISMATCH")</f>
        <v/>
      </c>
      <c r="Q129" s="16" t="n">
        <v>40</v>
      </c>
      <c r="R129" s="12">
        <f>IF(Q129&lt;0,"n/a",Q129*Summary!$B$11)</f>
        <v/>
      </c>
      <c r="S129" s="16">
        <f>IF(Q129&lt;0,"NEVER",IF(Q129&lt;=Summary!$B$12,"OK","OVER LIMIT"))</f>
        <v/>
      </c>
      <c r="T129" s="16">
        <f>IF(AND(M129="MATCH",P129="MATCH",S129="OK"),"PASS","FAIL")</f>
        <v/>
      </c>
    </row>
    <row r="130">
      <c r="A130" s="16" t="n">
        <v>1</v>
      </c>
      <c r="B130" s="5" t="inlineStr">
        <is>
          <t>2026-10-22 16:04:25</t>
        </is>
      </c>
      <c r="C130" s="5" t="inlineStr">
        <is>
          <t>input_vectors.hex</t>
        </is>
      </c>
      <c r="D130" s="16" t="n">
        <v>128</v>
      </c>
      <c r="E130" s="16" t="inlineStr">
        <is>
          <t>Mid-stream</t>
        </is>
      </c>
      <c r="F130" s="17" t="inlineStr">
        <is>
          <t>D7C524A5</t>
        </is>
      </c>
      <c r="G130" s="17">
        <f>MID(F130,1,2)</f>
        <v/>
      </c>
      <c r="H130" s="17">
        <f>MID(F130,3,2)</f>
        <v/>
      </c>
      <c r="I130" s="17">
        <f>MID(F130,5,2)</f>
        <v/>
      </c>
      <c r="J130" s="17">
        <f>MID(F130,7,2)</f>
        <v/>
      </c>
      <c r="K130" s="17" t="inlineStr">
        <is>
          <t>D7C524A5</t>
        </is>
      </c>
      <c r="L130" s="17" t="inlineStr">
        <is>
          <t>D7C524A5</t>
        </is>
      </c>
      <c r="M130" s="16">
        <f>IF(K130=L130,"MATCH","MISMATCH")</f>
        <v/>
      </c>
      <c r="N130" s="18" t="inlineStr">
        <is>
          <t>11010111110001010010010010100101</t>
        </is>
      </c>
      <c r="O130" s="18" t="inlineStr">
        <is>
          <t>11010111110001010010010010100101</t>
        </is>
      </c>
      <c r="P130" s="16">
        <f>IF(N130=O130,"MATCH","MISMATCH")</f>
        <v/>
      </c>
      <c r="Q130" s="16" t="n">
        <v>40</v>
      </c>
      <c r="R130" s="12">
        <f>IF(Q130&lt;0,"n/a",Q130*Summary!$B$11)</f>
        <v/>
      </c>
      <c r="S130" s="16">
        <f>IF(Q130&lt;0,"NEVER",IF(Q130&lt;=Summary!$B$12,"OK","OVER LIMIT"))</f>
        <v/>
      </c>
      <c r="T130" s="16">
        <f>IF(AND(M130="MATCH",P130="MATCH",S130="OK"),"PASS","FAIL")</f>
        <v/>
      </c>
    </row>
    <row r="131">
      <c r="A131" s="16" t="n">
        <v>1</v>
      </c>
      <c r="B131" s="5" t="inlineStr">
        <is>
          <t>2026-10-22 16:04:25</t>
        </is>
      </c>
      <c r="C131" s="5" t="inlineStr">
        <is>
          <t>input_vectors.hex</t>
        </is>
      </c>
      <c r="D131" s="16" t="n">
        <v>129</v>
      </c>
      <c r="E131" s="16" t="inlineStr">
        <is>
          <t>Mid-stream</t>
        </is>
      </c>
      <c r="F131" s="17" t="inlineStr">
        <is>
          <t>C4B032CC</t>
        </is>
      </c>
      <c r="G131" s="17">
        <f>MID(F131,1,2)</f>
        <v/>
      </c>
      <c r="H131" s="17">
        <f>MID(F131,3,2)</f>
        <v/>
      </c>
      <c r="I131" s="17">
        <f>MID(F131,5,2)</f>
        <v/>
      </c>
      <c r="J131" s="17">
        <f>MID(F131,7,2)</f>
        <v/>
      </c>
      <c r="K131" s="17" t="inlineStr">
        <is>
          <t>C4B032CC</t>
        </is>
      </c>
      <c r="L131" s="17" t="inlineStr">
        <is>
          <t>C4B032CC</t>
        </is>
      </c>
      <c r="M131" s="16">
        <f>IF(K131=L131,"MATCH","MISMATCH")</f>
        <v/>
      </c>
      <c r="N131" s="18" t="inlineStr">
        <is>
          <t>11000100101100000011001011001100</t>
        </is>
      </c>
      <c r="O131" s="18" t="inlineStr">
        <is>
          <t>11000100101100000011001011001100</t>
        </is>
      </c>
      <c r="P131" s="16">
        <f>IF(N131=O131,"MATCH","MISMATCH")</f>
        <v/>
      </c>
      <c r="Q131" s="16" t="n">
        <v>40</v>
      </c>
      <c r="R131" s="12">
        <f>IF(Q131&lt;0,"n/a",Q131*Summary!$B$11)</f>
        <v/>
      </c>
      <c r="S131" s="16">
        <f>IF(Q131&lt;0,"NEVER",IF(Q131&lt;=Summary!$B$12,"OK","OVER LIMIT"))</f>
        <v/>
      </c>
      <c r="T131" s="16">
        <f>IF(AND(M131="MATCH",P131="MATCH",S131="OK"),"PASS","FAIL")</f>
        <v/>
      </c>
    </row>
    <row r="132">
      <c r="A132" s="16" t="n">
        <v>1</v>
      </c>
      <c r="B132" s="5" t="inlineStr">
        <is>
          <t>2026-10-22 16:04:25</t>
        </is>
      </c>
      <c r="C132" s="5" t="inlineStr">
        <is>
          <t>input_vectors.hex</t>
        </is>
      </c>
      <c r="D132" s="16" t="n">
        <v>130</v>
      </c>
      <c r="E132" s="16" t="inlineStr">
        <is>
          <t>Mid-stream</t>
        </is>
      </c>
      <c r="F132" s="17" t="inlineStr">
        <is>
          <t>C6A7EE39</t>
        </is>
      </c>
      <c r="G132" s="17">
        <f>MID(F132,1,2)</f>
        <v/>
      </c>
      <c r="H132" s="17">
        <f>MID(F132,3,2)</f>
        <v/>
      </c>
      <c r="I132" s="17">
        <f>MID(F132,5,2)</f>
        <v/>
      </c>
      <c r="J132" s="17">
        <f>MID(F132,7,2)</f>
        <v/>
      </c>
      <c r="K132" s="17" t="inlineStr">
        <is>
          <t>C6A7EE39</t>
        </is>
      </c>
      <c r="L132" s="17" t="inlineStr">
        <is>
          <t>C6A7EE39</t>
        </is>
      </c>
      <c r="M132" s="16">
        <f>IF(K132=L132,"MATCH","MISMATCH")</f>
        <v/>
      </c>
      <c r="N132" s="18" t="inlineStr">
        <is>
          <t>11000110101001111110111000111001</t>
        </is>
      </c>
      <c r="O132" s="18" t="inlineStr">
        <is>
          <t>11000110101001111110111000111001</t>
        </is>
      </c>
      <c r="P132" s="16">
        <f>IF(N132=O132,"MATCH","MISMATCH")</f>
        <v/>
      </c>
      <c r="Q132" s="16" t="n">
        <v>40</v>
      </c>
      <c r="R132" s="12">
        <f>IF(Q132&lt;0,"n/a",Q132*Summary!$B$11)</f>
        <v/>
      </c>
      <c r="S132" s="16">
        <f>IF(Q132&lt;0,"NEVER",IF(Q132&lt;=Summary!$B$12,"OK","OVER LIMIT"))</f>
        <v/>
      </c>
      <c r="T132" s="16">
        <f>IF(AND(M132="MATCH",P132="MATCH",S132="OK"),"PASS","FAIL")</f>
        <v/>
      </c>
    </row>
    <row r="133">
      <c r="A133" s="16" t="n">
        <v>1</v>
      </c>
      <c r="B133" s="5" t="inlineStr">
        <is>
          <t>2026-10-22 16:04:25</t>
        </is>
      </c>
      <c r="C133" s="5" t="inlineStr">
        <is>
          <t>input_vectors.hex</t>
        </is>
      </c>
      <c r="D133" s="16" t="n">
        <v>131</v>
      </c>
      <c r="E133" s="16" t="inlineStr">
        <is>
          <t>Mid-stream</t>
        </is>
      </c>
      <c r="F133" s="17" t="inlineStr">
        <is>
          <t>0E51F30D</t>
        </is>
      </c>
      <c r="G133" s="17">
        <f>MID(F133,1,2)</f>
        <v/>
      </c>
      <c r="H133" s="17">
        <f>MID(F133,3,2)</f>
        <v/>
      </c>
      <c r="I133" s="17">
        <f>MID(F133,5,2)</f>
        <v/>
      </c>
      <c r="J133" s="17">
        <f>MID(F133,7,2)</f>
        <v/>
      </c>
      <c r="K133" s="17" t="inlineStr">
        <is>
          <t>0E51F30D</t>
        </is>
      </c>
      <c r="L133" s="17" t="inlineStr">
        <is>
          <t>0E51F30D</t>
        </is>
      </c>
      <c r="M133" s="16">
        <f>IF(K133=L133,"MATCH","MISMATCH")</f>
        <v/>
      </c>
      <c r="N133" s="18" t="inlineStr">
        <is>
          <t>00001110010100011111001100001101</t>
        </is>
      </c>
      <c r="O133" s="18" t="inlineStr">
        <is>
          <t>00001110010100011111001100001101</t>
        </is>
      </c>
      <c r="P133" s="16">
        <f>IF(N133=O133,"MATCH","MISMATCH")</f>
        <v/>
      </c>
      <c r="Q133" s="16" t="n">
        <v>40</v>
      </c>
      <c r="R133" s="12">
        <f>IF(Q133&lt;0,"n/a",Q133*Summary!$B$11)</f>
        <v/>
      </c>
      <c r="S133" s="16">
        <f>IF(Q133&lt;0,"NEVER",IF(Q133&lt;=Summary!$B$12,"OK","OVER LIMIT"))</f>
        <v/>
      </c>
      <c r="T133" s="16">
        <f>IF(AND(M133="MATCH",P133="MATCH",S133="OK"),"PASS","FAIL")</f>
        <v/>
      </c>
    </row>
    <row r="134">
      <c r="A134" s="16" t="n">
        <v>1</v>
      </c>
      <c r="B134" s="5" t="inlineStr">
        <is>
          <t>2026-10-22 16:04:25</t>
        </is>
      </c>
      <c r="C134" s="5" t="inlineStr">
        <is>
          <t>input_vectors.hex</t>
        </is>
      </c>
      <c r="D134" s="16" t="n">
        <v>132</v>
      </c>
      <c r="E134" s="16" t="inlineStr">
        <is>
          <t>Mid-stream</t>
        </is>
      </c>
      <c r="F134" s="17" t="inlineStr">
        <is>
          <t>3AA2E4F9</t>
        </is>
      </c>
      <c r="G134" s="17">
        <f>MID(F134,1,2)</f>
        <v/>
      </c>
      <c r="H134" s="17">
        <f>MID(F134,3,2)</f>
        <v/>
      </c>
      <c r="I134" s="17">
        <f>MID(F134,5,2)</f>
        <v/>
      </c>
      <c r="J134" s="17">
        <f>MID(F134,7,2)</f>
        <v/>
      </c>
      <c r="K134" s="17" t="inlineStr">
        <is>
          <t>3AA2E4F9</t>
        </is>
      </c>
      <c r="L134" s="17" t="inlineStr">
        <is>
          <t>3AA2E4F9</t>
        </is>
      </c>
      <c r="M134" s="16">
        <f>IF(K134=L134,"MATCH","MISMATCH")</f>
        <v/>
      </c>
      <c r="N134" s="18" t="inlineStr">
        <is>
          <t>00111010101000101110010011111001</t>
        </is>
      </c>
      <c r="O134" s="18" t="inlineStr">
        <is>
          <t>00111010101000101110010011111001</t>
        </is>
      </c>
      <c r="P134" s="16">
        <f>IF(N134=O134,"MATCH","MISMATCH")</f>
        <v/>
      </c>
      <c r="Q134" s="16" t="n">
        <v>40</v>
      </c>
      <c r="R134" s="12">
        <f>IF(Q134&lt;0,"n/a",Q134*Summary!$B$11)</f>
        <v/>
      </c>
      <c r="S134" s="16">
        <f>IF(Q134&lt;0,"NEVER",IF(Q134&lt;=Summary!$B$12,"OK","OVER LIMIT"))</f>
        <v/>
      </c>
      <c r="T134" s="16">
        <f>IF(AND(M134="MATCH",P134="MATCH",S134="OK"),"PASS","FAIL")</f>
        <v/>
      </c>
    </row>
    <row r="135">
      <c r="A135" s="16" t="n">
        <v>1</v>
      </c>
      <c r="B135" s="5" t="inlineStr">
        <is>
          <t>2026-10-22 16:04:25</t>
        </is>
      </c>
      <c r="C135" s="5" t="inlineStr">
        <is>
          <t>input_vectors.hex</t>
        </is>
      </c>
      <c r="D135" s="16" t="n">
        <v>133</v>
      </c>
      <c r="E135" s="16" t="inlineStr">
        <is>
          <t>Mid-stream</t>
        </is>
      </c>
      <c r="F135" s="17" t="inlineStr">
        <is>
          <t>D261A7AB</t>
        </is>
      </c>
      <c r="G135" s="17">
        <f>MID(F135,1,2)</f>
        <v/>
      </c>
      <c r="H135" s="17">
        <f>MID(F135,3,2)</f>
        <v/>
      </c>
      <c r="I135" s="17">
        <f>MID(F135,5,2)</f>
        <v/>
      </c>
      <c r="J135" s="17">
        <f>MID(F135,7,2)</f>
        <v/>
      </c>
      <c r="K135" s="17" t="inlineStr">
        <is>
          <t>D261A7AB</t>
        </is>
      </c>
      <c r="L135" s="17" t="inlineStr">
        <is>
          <t>D261A7AB</t>
        </is>
      </c>
      <c r="M135" s="16">
        <f>IF(K135=L135,"MATCH","MISMATCH")</f>
        <v/>
      </c>
      <c r="N135" s="18" t="inlineStr">
        <is>
          <t>11010010011000011010011110101011</t>
        </is>
      </c>
      <c r="O135" s="18" t="inlineStr">
        <is>
          <t>11010010011000011010011110101011</t>
        </is>
      </c>
      <c r="P135" s="16">
        <f>IF(N135=O135,"MATCH","MISMATCH")</f>
        <v/>
      </c>
      <c r="Q135" s="16" t="n">
        <v>40</v>
      </c>
      <c r="R135" s="12">
        <f>IF(Q135&lt;0,"n/a",Q135*Summary!$B$11)</f>
        <v/>
      </c>
      <c r="S135" s="16">
        <f>IF(Q135&lt;0,"NEVER",IF(Q135&lt;=Summary!$B$12,"OK","OVER LIMIT"))</f>
        <v/>
      </c>
      <c r="T135" s="16">
        <f>IF(AND(M135="MATCH",P135="MATCH",S135="OK"),"PASS","FAIL")</f>
        <v/>
      </c>
    </row>
    <row r="136">
      <c r="A136" s="16" t="n">
        <v>1</v>
      </c>
      <c r="B136" s="5" t="inlineStr">
        <is>
          <t>2026-10-22 16:04:25</t>
        </is>
      </c>
      <c r="C136" s="5" t="inlineStr">
        <is>
          <t>input_vectors.hex</t>
        </is>
      </c>
      <c r="D136" s="16" t="n">
        <v>134</v>
      </c>
      <c r="E136" s="16" t="inlineStr">
        <is>
          <t>Mid-stream</t>
        </is>
      </c>
      <c r="F136" s="17" t="inlineStr">
        <is>
          <t>0837B8A3</t>
        </is>
      </c>
      <c r="G136" s="17">
        <f>MID(F136,1,2)</f>
        <v/>
      </c>
      <c r="H136" s="17">
        <f>MID(F136,3,2)</f>
        <v/>
      </c>
      <c r="I136" s="17">
        <f>MID(F136,5,2)</f>
        <v/>
      </c>
      <c r="J136" s="17">
        <f>MID(F136,7,2)</f>
        <v/>
      </c>
      <c r="K136" s="17" t="inlineStr">
        <is>
          <t>0837B8A3</t>
        </is>
      </c>
      <c r="L136" s="17" t="inlineStr">
        <is>
          <t>0837B8A3</t>
        </is>
      </c>
      <c r="M136" s="16">
        <f>IF(K136=L136,"MATCH","MISMATCH")</f>
        <v/>
      </c>
      <c r="N136" s="18" t="inlineStr">
        <is>
          <t>00001000001101111011100010100011</t>
        </is>
      </c>
      <c r="O136" s="18" t="inlineStr">
        <is>
          <t>00001000001101111011100010100011</t>
        </is>
      </c>
      <c r="P136" s="16">
        <f>IF(N136=O136,"MATCH","MISMATCH")</f>
        <v/>
      </c>
      <c r="Q136" s="16" t="n">
        <v>40</v>
      </c>
      <c r="R136" s="12">
        <f>IF(Q136&lt;0,"n/a",Q136*Summary!$B$11)</f>
        <v/>
      </c>
      <c r="S136" s="16">
        <f>IF(Q136&lt;0,"NEVER",IF(Q136&lt;=Summary!$B$12,"OK","OVER LIMIT"))</f>
        <v/>
      </c>
      <c r="T136" s="16">
        <f>IF(AND(M136="MATCH",P136="MATCH",S136="OK"),"PASS","FAIL")</f>
        <v/>
      </c>
    </row>
    <row r="137">
      <c r="A137" s="16" t="n">
        <v>1</v>
      </c>
      <c r="B137" s="5" t="inlineStr">
        <is>
          <t>2026-10-22 16:04:25</t>
        </is>
      </c>
      <c r="C137" s="5" t="inlineStr">
        <is>
          <t>input_vectors.hex</t>
        </is>
      </c>
      <c r="D137" s="16" t="n">
        <v>135</v>
      </c>
      <c r="E137" s="16" t="inlineStr">
        <is>
          <t>Mid-stream</t>
        </is>
      </c>
      <c r="F137" s="17" t="inlineStr">
        <is>
          <t>CE177B4E</t>
        </is>
      </c>
      <c r="G137" s="17">
        <f>MID(F137,1,2)</f>
        <v/>
      </c>
      <c r="H137" s="17">
        <f>MID(F137,3,2)</f>
        <v/>
      </c>
      <c r="I137" s="17">
        <f>MID(F137,5,2)</f>
        <v/>
      </c>
      <c r="J137" s="17">
        <f>MID(F137,7,2)</f>
        <v/>
      </c>
      <c r="K137" s="17" t="inlineStr">
        <is>
          <t>CE177B4E</t>
        </is>
      </c>
      <c r="L137" s="17" t="inlineStr">
        <is>
          <t>CE177B4E</t>
        </is>
      </c>
      <c r="M137" s="16">
        <f>IF(K137=L137,"MATCH","MISMATCH")</f>
        <v/>
      </c>
      <c r="N137" s="18" t="inlineStr">
        <is>
          <t>11001110000101110111101101001110</t>
        </is>
      </c>
      <c r="O137" s="18" t="inlineStr">
        <is>
          <t>11001110000101110111101101001110</t>
        </is>
      </c>
      <c r="P137" s="16">
        <f>IF(N137=O137,"MATCH","MISMATCH")</f>
        <v/>
      </c>
      <c r="Q137" s="16" t="n">
        <v>40</v>
      </c>
      <c r="R137" s="12">
        <f>IF(Q137&lt;0,"n/a",Q137*Summary!$B$11)</f>
        <v/>
      </c>
      <c r="S137" s="16">
        <f>IF(Q137&lt;0,"NEVER",IF(Q137&lt;=Summary!$B$12,"OK","OVER LIMIT"))</f>
        <v/>
      </c>
      <c r="T137" s="16">
        <f>IF(AND(M137="MATCH",P137="MATCH",S137="OK"),"PASS","FAIL")</f>
        <v/>
      </c>
    </row>
    <row r="138">
      <c r="A138" s="16" t="n">
        <v>1</v>
      </c>
      <c r="B138" s="5" t="inlineStr">
        <is>
          <t>2026-10-22 16:04:25</t>
        </is>
      </c>
      <c r="C138" s="5" t="inlineStr">
        <is>
          <t>input_vectors.hex</t>
        </is>
      </c>
      <c r="D138" s="16" t="n">
        <v>136</v>
      </c>
      <c r="E138" s="16" t="inlineStr">
        <is>
          <t>Mid-stream</t>
        </is>
      </c>
      <c r="F138" s="17" t="inlineStr">
        <is>
          <t>50C187FC</t>
        </is>
      </c>
      <c r="G138" s="17">
        <f>MID(F138,1,2)</f>
        <v/>
      </c>
      <c r="H138" s="17">
        <f>MID(F138,3,2)</f>
        <v/>
      </c>
      <c r="I138" s="17">
        <f>MID(F138,5,2)</f>
        <v/>
      </c>
      <c r="J138" s="17">
        <f>MID(F138,7,2)</f>
        <v/>
      </c>
      <c r="K138" s="17" t="inlineStr">
        <is>
          <t>50C187FC</t>
        </is>
      </c>
      <c r="L138" s="17" t="inlineStr">
        <is>
          <t>50C187FC</t>
        </is>
      </c>
      <c r="M138" s="16">
        <f>IF(K138=L138,"MATCH","MISMATCH")</f>
        <v/>
      </c>
      <c r="N138" s="18" t="inlineStr">
        <is>
          <t>01010000110000011000011111111100</t>
        </is>
      </c>
      <c r="O138" s="18" t="inlineStr">
        <is>
          <t>01010000110000011000011111111100</t>
        </is>
      </c>
      <c r="P138" s="16">
        <f>IF(N138=O138,"MATCH","MISMATCH")</f>
        <v/>
      </c>
      <c r="Q138" s="16" t="n">
        <v>40</v>
      </c>
      <c r="R138" s="12">
        <f>IF(Q138&lt;0,"n/a",Q138*Summary!$B$11)</f>
        <v/>
      </c>
      <c r="S138" s="16">
        <f>IF(Q138&lt;0,"NEVER",IF(Q138&lt;=Summary!$B$12,"OK","OVER LIMIT"))</f>
        <v/>
      </c>
      <c r="T138" s="16">
        <f>IF(AND(M138="MATCH",P138="MATCH",S138="OK"),"PASS","FAIL")</f>
        <v/>
      </c>
    </row>
    <row r="139">
      <c r="A139" s="16" t="n">
        <v>1</v>
      </c>
      <c r="B139" s="5" t="inlineStr">
        <is>
          <t>2026-10-22 16:04:25</t>
        </is>
      </c>
      <c r="C139" s="5" t="inlineStr">
        <is>
          <t>input_vectors.hex</t>
        </is>
      </c>
      <c r="D139" s="16" t="n">
        <v>137</v>
      </c>
      <c r="E139" s="16" t="inlineStr">
        <is>
          <t>Mid-stream</t>
        </is>
      </c>
      <c r="F139" s="17" t="inlineStr">
        <is>
          <t>66B2BC5B</t>
        </is>
      </c>
      <c r="G139" s="17">
        <f>MID(F139,1,2)</f>
        <v/>
      </c>
      <c r="H139" s="17">
        <f>MID(F139,3,2)</f>
        <v/>
      </c>
      <c r="I139" s="17">
        <f>MID(F139,5,2)</f>
        <v/>
      </c>
      <c r="J139" s="17">
        <f>MID(F139,7,2)</f>
        <v/>
      </c>
      <c r="K139" s="17" t="inlineStr">
        <is>
          <t>66B2BC5B</t>
        </is>
      </c>
      <c r="L139" s="17" t="inlineStr">
        <is>
          <t>66B2BC5B</t>
        </is>
      </c>
      <c r="M139" s="16">
        <f>IF(K139=L139,"MATCH","MISMATCH")</f>
        <v/>
      </c>
      <c r="N139" s="18" t="inlineStr">
        <is>
          <t>01100110101100101011110001011011</t>
        </is>
      </c>
      <c r="O139" s="18" t="inlineStr">
        <is>
          <t>01100110101100101011110001011011</t>
        </is>
      </c>
      <c r="P139" s="16">
        <f>IF(N139=O139,"MATCH","MISMATCH")</f>
        <v/>
      </c>
      <c r="Q139" s="16" t="n">
        <v>40</v>
      </c>
      <c r="R139" s="12">
        <f>IF(Q139&lt;0,"n/a",Q139*Summary!$B$11)</f>
        <v/>
      </c>
      <c r="S139" s="16">
        <f>IF(Q139&lt;0,"NEVER",IF(Q139&lt;=Summary!$B$12,"OK","OVER LIMIT"))</f>
        <v/>
      </c>
      <c r="T139" s="16">
        <f>IF(AND(M139="MATCH",P139="MATCH",S139="OK"),"PASS","FAIL")</f>
        <v/>
      </c>
    </row>
    <row r="140">
      <c r="A140" s="16" t="n">
        <v>1</v>
      </c>
      <c r="B140" s="5" t="inlineStr">
        <is>
          <t>2026-10-22 16:04:25</t>
        </is>
      </c>
      <c r="C140" s="5" t="inlineStr">
        <is>
          <t>input_vectors.hex</t>
        </is>
      </c>
      <c r="D140" s="16" t="n">
        <v>138</v>
      </c>
      <c r="E140" s="16" t="inlineStr">
        <is>
          <t>Mid-stream</t>
        </is>
      </c>
      <c r="F140" s="17" t="inlineStr">
        <is>
          <t>448AAA9E</t>
        </is>
      </c>
      <c r="G140" s="17">
        <f>MID(F140,1,2)</f>
        <v/>
      </c>
      <c r="H140" s="17">
        <f>MID(F140,3,2)</f>
        <v/>
      </c>
      <c r="I140" s="17">
        <f>MID(F140,5,2)</f>
        <v/>
      </c>
      <c r="J140" s="17">
        <f>MID(F140,7,2)</f>
        <v/>
      </c>
      <c r="K140" s="17" t="inlineStr">
        <is>
          <t>448AAA9E</t>
        </is>
      </c>
      <c r="L140" s="17" t="inlineStr">
        <is>
          <t>448AAA9E</t>
        </is>
      </c>
      <c r="M140" s="16">
        <f>IF(K140=L140,"MATCH","MISMATCH")</f>
        <v/>
      </c>
      <c r="N140" s="18" t="inlineStr">
        <is>
          <t>01000100100010101010101010011110</t>
        </is>
      </c>
      <c r="O140" s="18" t="inlineStr">
        <is>
          <t>01000100100010101010101010011110</t>
        </is>
      </c>
      <c r="P140" s="16">
        <f>IF(N140=O140,"MATCH","MISMATCH")</f>
        <v/>
      </c>
      <c r="Q140" s="16" t="n">
        <v>40</v>
      </c>
      <c r="R140" s="12">
        <f>IF(Q140&lt;0,"n/a",Q140*Summary!$B$11)</f>
        <v/>
      </c>
      <c r="S140" s="16">
        <f>IF(Q140&lt;0,"NEVER",IF(Q140&lt;=Summary!$B$12,"OK","OVER LIMIT"))</f>
        <v/>
      </c>
      <c r="T140" s="16">
        <f>IF(AND(M140="MATCH",P140="MATCH",S140="OK"),"PASS","FAIL")</f>
        <v/>
      </c>
    </row>
    <row r="141">
      <c r="A141" s="16" t="n">
        <v>1</v>
      </c>
      <c r="B141" s="5" t="inlineStr">
        <is>
          <t>2026-10-22 16:04:25</t>
        </is>
      </c>
      <c r="C141" s="5" t="inlineStr">
        <is>
          <t>input_vectors.hex</t>
        </is>
      </c>
      <c r="D141" s="16" t="n">
        <v>139</v>
      </c>
      <c r="E141" s="16" t="inlineStr">
        <is>
          <t>Mid-stream</t>
        </is>
      </c>
      <c r="F141" s="17" t="inlineStr">
        <is>
          <t>10F1BC81</t>
        </is>
      </c>
      <c r="G141" s="17">
        <f>MID(F141,1,2)</f>
        <v/>
      </c>
      <c r="H141" s="17">
        <f>MID(F141,3,2)</f>
        <v/>
      </c>
      <c r="I141" s="17">
        <f>MID(F141,5,2)</f>
        <v/>
      </c>
      <c r="J141" s="17">
        <f>MID(F141,7,2)</f>
        <v/>
      </c>
      <c r="K141" s="17" t="inlineStr">
        <is>
          <t>10F1BC81</t>
        </is>
      </c>
      <c r="L141" s="17" t="inlineStr">
        <is>
          <t>10F1BC81</t>
        </is>
      </c>
      <c r="M141" s="16">
        <f>IF(K141=L141,"MATCH","MISMATCH")</f>
        <v/>
      </c>
      <c r="N141" s="18" t="inlineStr">
        <is>
          <t>00010000111100011011110010000001</t>
        </is>
      </c>
      <c r="O141" s="18" t="inlineStr">
        <is>
          <t>00010000111100011011110010000001</t>
        </is>
      </c>
      <c r="P141" s="16">
        <f>IF(N141=O141,"MATCH","MISMATCH")</f>
        <v/>
      </c>
      <c r="Q141" s="16" t="n">
        <v>40</v>
      </c>
      <c r="R141" s="12">
        <f>IF(Q141&lt;0,"n/a",Q141*Summary!$B$11)</f>
        <v/>
      </c>
      <c r="S141" s="16">
        <f>IF(Q141&lt;0,"NEVER",IF(Q141&lt;=Summary!$B$12,"OK","OVER LIMIT"))</f>
        <v/>
      </c>
      <c r="T141" s="16">
        <f>IF(AND(M141="MATCH",P141="MATCH",S141="OK"),"PASS","FAIL")</f>
        <v/>
      </c>
    </row>
    <row r="142">
      <c r="A142" s="16" t="n">
        <v>1</v>
      </c>
      <c r="B142" s="5" t="inlineStr">
        <is>
          <t>2026-10-22 16:04:25</t>
        </is>
      </c>
      <c r="C142" s="5" t="inlineStr">
        <is>
          <t>input_vectors.hex</t>
        </is>
      </c>
      <c r="D142" s="16" t="n">
        <v>140</v>
      </c>
      <c r="E142" s="16" t="inlineStr">
        <is>
          <t>Mid-stream</t>
        </is>
      </c>
      <c r="F142" s="17" t="inlineStr">
        <is>
          <t>3602F8AC</t>
        </is>
      </c>
      <c r="G142" s="17">
        <f>MID(F142,1,2)</f>
        <v/>
      </c>
      <c r="H142" s="17">
        <f>MID(F142,3,2)</f>
        <v/>
      </c>
      <c r="I142" s="17">
        <f>MID(F142,5,2)</f>
        <v/>
      </c>
      <c r="J142" s="17">
        <f>MID(F142,7,2)</f>
        <v/>
      </c>
      <c r="K142" s="17" t="inlineStr">
        <is>
          <t>3602F8AC</t>
        </is>
      </c>
      <c r="L142" s="17" t="inlineStr">
        <is>
          <t>3602F8AC</t>
        </is>
      </c>
      <c r="M142" s="16">
        <f>IF(K142=L142,"MATCH","MISMATCH")</f>
        <v/>
      </c>
      <c r="N142" s="18" t="inlineStr">
        <is>
          <t>00110110000000101111100010101100</t>
        </is>
      </c>
      <c r="O142" s="18" t="inlineStr">
        <is>
          <t>00110110000000101111100010101100</t>
        </is>
      </c>
      <c r="P142" s="16">
        <f>IF(N142=O142,"MATCH","MISMATCH")</f>
        <v/>
      </c>
      <c r="Q142" s="16" t="n">
        <v>40</v>
      </c>
      <c r="R142" s="12">
        <f>IF(Q142&lt;0,"n/a",Q142*Summary!$B$11)</f>
        <v/>
      </c>
      <c r="S142" s="16">
        <f>IF(Q142&lt;0,"NEVER",IF(Q142&lt;=Summary!$B$12,"OK","OVER LIMIT"))</f>
        <v/>
      </c>
      <c r="T142" s="16">
        <f>IF(AND(M142="MATCH",P142="MATCH",S142="OK"),"PASS","FAIL")</f>
        <v/>
      </c>
    </row>
    <row r="143">
      <c r="A143" s="16" t="n">
        <v>1</v>
      </c>
      <c r="B143" s="5" t="inlineStr">
        <is>
          <t>2026-10-22 16:04:25</t>
        </is>
      </c>
      <c r="C143" s="5" t="inlineStr">
        <is>
          <t>input_vectors.hex</t>
        </is>
      </c>
      <c r="D143" s="16" t="n">
        <v>141</v>
      </c>
      <c r="E143" s="16" t="inlineStr">
        <is>
          <t>Mid-stream</t>
        </is>
      </c>
      <c r="F143" s="17" t="inlineStr">
        <is>
          <t>E9C349E0</t>
        </is>
      </c>
      <c r="G143" s="17">
        <f>MID(F143,1,2)</f>
        <v/>
      </c>
      <c r="H143" s="17">
        <f>MID(F143,3,2)</f>
        <v/>
      </c>
      <c r="I143" s="17">
        <f>MID(F143,5,2)</f>
        <v/>
      </c>
      <c r="J143" s="17">
        <f>MID(F143,7,2)</f>
        <v/>
      </c>
      <c r="K143" s="17" t="inlineStr">
        <is>
          <t>E9C349E0</t>
        </is>
      </c>
      <c r="L143" s="17" t="inlineStr">
        <is>
          <t>E9C349E0</t>
        </is>
      </c>
      <c r="M143" s="16">
        <f>IF(K143=L143,"MATCH","MISMATCH")</f>
        <v/>
      </c>
      <c r="N143" s="18" t="inlineStr">
        <is>
          <t>11101001110000110100100111100000</t>
        </is>
      </c>
      <c r="O143" s="18" t="inlineStr">
        <is>
          <t>11101001110000110100100111100000</t>
        </is>
      </c>
      <c r="P143" s="16">
        <f>IF(N143=O143,"MATCH","MISMATCH")</f>
        <v/>
      </c>
      <c r="Q143" s="16" t="n">
        <v>40</v>
      </c>
      <c r="R143" s="12">
        <f>IF(Q143&lt;0,"n/a",Q143*Summary!$B$11)</f>
        <v/>
      </c>
      <c r="S143" s="16">
        <f>IF(Q143&lt;0,"NEVER",IF(Q143&lt;=Summary!$B$12,"OK","OVER LIMIT"))</f>
        <v/>
      </c>
      <c r="T143" s="16">
        <f>IF(AND(M143="MATCH",P143="MATCH",S143="OK"),"PASS","FAIL")</f>
        <v/>
      </c>
    </row>
    <row r="144">
      <c r="A144" s="16" t="n">
        <v>1</v>
      </c>
      <c r="B144" s="5" t="inlineStr">
        <is>
          <t>2026-10-22 16:04:25</t>
        </is>
      </c>
      <c r="C144" s="5" t="inlineStr">
        <is>
          <t>input_vectors.hex</t>
        </is>
      </c>
      <c r="D144" s="16" t="n">
        <v>142</v>
      </c>
      <c r="E144" s="16" t="inlineStr">
        <is>
          <t>Mid-stream</t>
        </is>
      </c>
      <c r="F144" s="17" t="inlineStr">
        <is>
          <t>F16287E4</t>
        </is>
      </c>
      <c r="G144" s="17">
        <f>MID(F144,1,2)</f>
        <v/>
      </c>
      <c r="H144" s="17">
        <f>MID(F144,3,2)</f>
        <v/>
      </c>
      <c r="I144" s="17">
        <f>MID(F144,5,2)</f>
        <v/>
      </c>
      <c r="J144" s="17">
        <f>MID(F144,7,2)</f>
        <v/>
      </c>
      <c r="K144" s="17" t="inlineStr">
        <is>
          <t>F16287E4</t>
        </is>
      </c>
      <c r="L144" s="17" t="inlineStr">
        <is>
          <t>F16287E4</t>
        </is>
      </c>
      <c r="M144" s="16">
        <f>IF(K144=L144,"MATCH","MISMATCH")</f>
        <v/>
      </c>
      <c r="N144" s="18" t="inlineStr">
        <is>
          <t>11110001011000101000011111100100</t>
        </is>
      </c>
      <c r="O144" s="18" t="inlineStr">
        <is>
          <t>11110001011000101000011111100100</t>
        </is>
      </c>
      <c r="P144" s="16">
        <f>IF(N144=O144,"MATCH","MISMATCH")</f>
        <v/>
      </c>
      <c r="Q144" s="16" t="n">
        <v>40</v>
      </c>
      <c r="R144" s="12">
        <f>IF(Q144&lt;0,"n/a",Q144*Summary!$B$11)</f>
        <v/>
      </c>
      <c r="S144" s="16">
        <f>IF(Q144&lt;0,"NEVER",IF(Q144&lt;=Summary!$B$12,"OK","OVER LIMIT"))</f>
        <v/>
      </c>
      <c r="T144" s="16">
        <f>IF(AND(M144="MATCH",P144="MATCH",S144="OK"),"PASS","FAIL")</f>
        <v/>
      </c>
    </row>
    <row r="145">
      <c r="A145" s="16" t="n">
        <v>1</v>
      </c>
      <c r="B145" s="5" t="inlineStr">
        <is>
          <t>2026-10-22 16:04:25</t>
        </is>
      </c>
      <c r="C145" s="5" t="inlineStr">
        <is>
          <t>input_vectors.hex</t>
        </is>
      </c>
      <c r="D145" s="16" t="n">
        <v>143</v>
      </c>
      <c r="E145" s="16" t="inlineStr">
        <is>
          <t>Mid-stream</t>
        </is>
      </c>
      <c r="F145" s="17" t="inlineStr">
        <is>
          <t>9132B63E</t>
        </is>
      </c>
      <c r="G145" s="17">
        <f>MID(F145,1,2)</f>
        <v/>
      </c>
      <c r="H145" s="17">
        <f>MID(F145,3,2)</f>
        <v/>
      </c>
      <c r="I145" s="17">
        <f>MID(F145,5,2)</f>
        <v/>
      </c>
      <c r="J145" s="17">
        <f>MID(F145,7,2)</f>
        <v/>
      </c>
      <c r="K145" s="17" t="inlineStr">
        <is>
          <t>9132B63E</t>
        </is>
      </c>
      <c r="L145" s="17" t="inlineStr">
        <is>
          <t>9132B63E</t>
        </is>
      </c>
      <c r="M145" s="16">
        <f>IF(K145=L145,"MATCH","MISMATCH")</f>
        <v/>
      </c>
      <c r="N145" s="18" t="inlineStr">
        <is>
          <t>10010001001100101011011000111110</t>
        </is>
      </c>
      <c r="O145" s="18" t="inlineStr">
        <is>
          <t>10010001001100101011011000111110</t>
        </is>
      </c>
      <c r="P145" s="16">
        <f>IF(N145=O145,"MATCH","MISMATCH")</f>
        <v/>
      </c>
      <c r="Q145" s="16" t="n">
        <v>40</v>
      </c>
      <c r="R145" s="12">
        <f>IF(Q145&lt;0,"n/a",Q145*Summary!$B$11)</f>
        <v/>
      </c>
      <c r="S145" s="16">
        <f>IF(Q145&lt;0,"NEVER",IF(Q145&lt;=Summary!$B$12,"OK","OVER LIMIT"))</f>
        <v/>
      </c>
      <c r="T145" s="16">
        <f>IF(AND(M145="MATCH",P145="MATCH",S145="OK"),"PASS","FAIL")</f>
        <v/>
      </c>
    </row>
    <row r="146">
      <c r="A146" s="16" t="n">
        <v>1</v>
      </c>
      <c r="B146" s="5" t="inlineStr">
        <is>
          <t>2026-10-22 16:04:25</t>
        </is>
      </c>
      <c r="C146" s="5" t="inlineStr">
        <is>
          <t>input_vectors.hex</t>
        </is>
      </c>
      <c r="D146" s="16" t="n">
        <v>144</v>
      </c>
      <c r="E146" s="16" t="inlineStr">
        <is>
          <t>Mid-stream</t>
        </is>
      </c>
      <c r="F146" s="17" t="inlineStr">
        <is>
          <t>E059A0EE</t>
        </is>
      </c>
      <c r="G146" s="17">
        <f>MID(F146,1,2)</f>
        <v/>
      </c>
      <c r="H146" s="17">
        <f>MID(F146,3,2)</f>
        <v/>
      </c>
      <c r="I146" s="17">
        <f>MID(F146,5,2)</f>
        <v/>
      </c>
      <c r="J146" s="17">
        <f>MID(F146,7,2)</f>
        <v/>
      </c>
      <c r="K146" s="17" t="inlineStr">
        <is>
          <t>E059A0EE</t>
        </is>
      </c>
      <c r="L146" s="17" t="inlineStr">
        <is>
          <t>E059A0EE</t>
        </is>
      </c>
      <c r="M146" s="16">
        <f>IF(K146=L146,"MATCH","MISMATCH")</f>
        <v/>
      </c>
      <c r="N146" s="18" t="inlineStr">
        <is>
          <t>11100000010110011010000011101110</t>
        </is>
      </c>
      <c r="O146" s="18" t="inlineStr">
        <is>
          <t>11100000010110011010000011101110</t>
        </is>
      </c>
      <c r="P146" s="16">
        <f>IF(N146=O146,"MATCH","MISMATCH")</f>
        <v/>
      </c>
      <c r="Q146" s="16" t="n">
        <v>40</v>
      </c>
      <c r="R146" s="12">
        <f>IF(Q146&lt;0,"n/a",Q146*Summary!$B$11)</f>
        <v/>
      </c>
      <c r="S146" s="16">
        <f>IF(Q146&lt;0,"NEVER",IF(Q146&lt;=Summary!$B$12,"OK","OVER LIMIT"))</f>
        <v/>
      </c>
      <c r="T146" s="16">
        <f>IF(AND(M146="MATCH",P146="MATCH",S146="OK"),"PASS","FAIL")</f>
        <v/>
      </c>
    </row>
    <row r="147">
      <c r="A147" s="16" t="n">
        <v>1</v>
      </c>
      <c r="B147" s="5" t="inlineStr">
        <is>
          <t>2026-10-22 16:04:25</t>
        </is>
      </c>
      <c r="C147" s="5" t="inlineStr">
        <is>
          <t>input_vectors.hex</t>
        </is>
      </c>
      <c r="D147" s="16" t="n">
        <v>145</v>
      </c>
      <c r="E147" s="16" t="inlineStr">
        <is>
          <t>Mid-stream</t>
        </is>
      </c>
      <c r="F147" s="17" t="inlineStr">
        <is>
          <t>B7C93ACF</t>
        </is>
      </c>
      <c r="G147" s="17">
        <f>MID(F147,1,2)</f>
        <v/>
      </c>
      <c r="H147" s="17">
        <f>MID(F147,3,2)</f>
        <v/>
      </c>
      <c r="I147" s="17">
        <f>MID(F147,5,2)</f>
        <v/>
      </c>
      <c r="J147" s="17">
        <f>MID(F147,7,2)</f>
        <v/>
      </c>
      <c r="K147" s="17" t="inlineStr">
        <is>
          <t>B7C93ACF</t>
        </is>
      </c>
      <c r="L147" s="17" t="inlineStr">
        <is>
          <t>B7C93ACF</t>
        </is>
      </c>
      <c r="M147" s="16">
        <f>IF(K147=L147,"MATCH","MISMATCH")</f>
        <v/>
      </c>
      <c r="N147" s="18" t="inlineStr">
        <is>
          <t>10110111110010010011101011001111</t>
        </is>
      </c>
      <c r="O147" s="18" t="inlineStr">
        <is>
          <t>10110111110010010011101011001111</t>
        </is>
      </c>
      <c r="P147" s="16">
        <f>IF(N147=O147,"MATCH","MISMATCH")</f>
        <v/>
      </c>
      <c r="Q147" s="16" t="n">
        <v>40</v>
      </c>
      <c r="R147" s="12">
        <f>IF(Q147&lt;0,"n/a",Q147*Summary!$B$11)</f>
        <v/>
      </c>
      <c r="S147" s="16">
        <f>IF(Q147&lt;0,"NEVER",IF(Q147&lt;=Summary!$B$12,"OK","OVER LIMIT"))</f>
        <v/>
      </c>
      <c r="T147" s="16">
        <f>IF(AND(M147="MATCH",P147="MATCH",S147="OK"),"PASS","FAIL")</f>
        <v/>
      </c>
    </row>
    <row r="148">
      <c r="A148" s="16" t="n">
        <v>1</v>
      </c>
      <c r="B148" s="5" t="inlineStr">
        <is>
          <t>2026-10-22 16:04:25</t>
        </is>
      </c>
      <c r="C148" s="5" t="inlineStr">
        <is>
          <t>input_vectors.hex</t>
        </is>
      </c>
      <c r="D148" s="16" t="n">
        <v>146</v>
      </c>
      <c r="E148" s="16" t="inlineStr">
        <is>
          <t>Mid-stream</t>
        </is>
      </c>
      <c r="F148" s="17" t="inlineStr">
        <is>
          <t>508EBAD7</t>
        </is>
      </c>
      <c r="G148" s="17">
        <f>MID(F148,1,2)</f>
        <v/>
      </c>
      <c r="H148" s="17">
        <f>MID(F148,3,2)</f>
        <v/>
      </c>
      <c r="I148" s="17">
        <f>MID(F148,5,2)</f>
        <v/>
      </c>
      <c r="J148" s="17">
        <f>MID(F148,7,2)</f>
        <v/>
      </c>
      <c r="K148" s="17" t="inlineStr">
        <is>
          <t>508EBAD7</t>
        </is>
      </c>
      <c r="L148" s="17" t="inlineStr">
        <is>
          <t>508EBAD7</t>
        </is>
      </c>
      <c r="M148" s="16">
        <f>IF(K148=L148,"MATCH","MISMATCH")</f>
        <v/>
      </c>
      <c r="N148" s="18" t="inlineStr">
        <is>
          <t>01010000100011101011101011010111</t>
        </is>
      </c>
      <c r="O148" s="18" t="inlineStr">
        <is>
          <t>01010000100011101011101011010111</t>
        </is>
      </c>
      <c r="P148" s="16">
        <f>IF(N148=O148,"MATCH","MISMATCH")</f>
        <v/>
      </c>
      <c r="Q148" s="16" t="n">
        <v>40</v>
      </c>
      <c r="R148" s="12">
        <f>IF(Q148&lt;0,"n/a",Q148*Summary!$B$11)</f>
        <v/>
      </c>
      <c r="S148" s="16">
        <f>IF(Q148&lt;0,"NEVER",IF(Q148&lt;=Summary!$B$12,"OK","OVER LIMIT"))</f>
        <v/>
      </c>
      <c r="T148" s="16">
        <f>IF(AND(M148="MATCH",P148="MATCH",S148="OK"),"PASS","FAIL")</f>
        <v/>
      </c>
    </row>
    <row r="149">
      <c r="A149" s="16" t="n">
        <v>1</v>
      </c>
      <c r="B149" s="5" t="inlineStr">
        <is>
          <t>2026-10-22 16:04:25</t>
        </is>
      </c>
      <c r="C149" s="5" t="inlineStr">
        <is>
          <t>input_vectors.hex</t>
        </is>
      </c>
      <c r="D149" s="16" t="n">
        <v>147</v>
      </c>
      <c r="E149" s="16" t="inlineStr">
        <is>
          <t>Mid-stream</t>
        </is>
      </c>
      <c r="F149" s="17" t="inlineStr">
        <is>
          <t>366EB16F</t>
        </is>
      </c>
      <c r="G149" s="17">
        <f>MID(F149,1,2)</f>
        <v/>
      </c>
      <c r="H149" s="17">
        <f>MID(F149,3,2)</f>
        <v/>
      </c>
      <c r="I149" s="17">
        <f>MID(F149,5,2)</f>
        <v/>
      </c>
      <c r="J149" s="17">
        <f>MID(F149,7,2)</f>
        <v/>
      </c>
      <c r="K149" s="17" t="inlineStr">
        <is>
          <t>366EB16F</t>
        </is>
      </c>
      <c r="L149" s="17" t="inlineStr">
        <is>
          <t>366EB16F</t>
        </is>
      </c>
      <c r="M149" s="16">
        <f>IF(K149=L149,"MATCH","MISMATCH")</f>
        <v/>
      </c>
      <c r="N149" s="18" t="inlineStr">
        <is>
          <t>00110110011011101011000101101111</t>
        </is>
      </c>
      <c r="O149" s="18" t="inlineStr">
        <is>
          <t>00110110011011101011000101101111</t>
        </is>
      </c>
      <c r="P149" s="16">
        <f>IF(N149=O149,"MATCH","MISMATCH")</f>
        <v/>
      </c>
      <c r="Q149" s="16" t="n">
        <v>40</v>
      </c>
      <c r="R149" s="12">
        <f>IF(Q149&lt;0,"n/a",Q149*Summary!$B$11)</f>
        <v/>
      </c>
      <c r="S149" s="16">
        <f>IF(Q149&lt;0,"NEVER",IF(Q149&lt;=Summary!$B$12,"OK","OVER LIMIT"))</f>
        <v/>
      </c>
      <c r="T149" s="16">
        <f>IF(AND(M149="MATCH",P149="MATCH",S149="OK"),"PASS","FAIL")</f>
        <v/>
      </c>
    </row>
    <row r="150">
      <c r="A150" s="16" t="n">
        <v>1</v>
      </c>
      <c r="B150" s="5" t="inlineStr">
        <is>
          <t>2026-10-22 16:04:25</t>
        </is>
      </c>
      <c r="C150" s="5" t="inlineStr">
        <is>
          <t>input_vectors.hex</t>
        </is>
      </c>
      <c r="D150" s="16" t="n">
        <v>148</v>
      </c>
      <c r="E150" s="16" t="inlineStr">
        <is>
          <t>Mid-stream</t>
        </is>
      </c>
      <c r="F150" s="17" t="inlineStr">
        <is>
          <t>A7CAD415</t>
        </is>
      </c>
      <c r="G150" s="17">
        <f>MID(F150,1,2)</f>
        <v/>
      </c>
      <c r="H150" s="17">
        <f>MID(F150,3,2)</f>
        <v/>
      </c>
      <c r="I150" s="17">
        <f>MID(F150,5,2)</f>
        <v/>
      </c>
      <c r="J150" s="17">
        <f>MID(F150,7,2)</f>
        <v/>
      </c>
      <c r="K150" s="17" t="inlineStr">
        <is>
          <t>A7CAD415</t>
        </is>
      </c>
      <c r="L150" s="17" t="inlineStr">
        <is>
          <t>A7CAD415</t>
        </is>
      </c>
      <c r="M150" s="16">
        <f>IF(K150=L150,"MATCH","MISMATCH")</f>
        <v/>
      </c>
      <c r="N150" s="18" t="inlineStr">
        <is>
          <t>10100111110010101101010000010101</t>
        </is>
      </c>
      <c r="O150" s="18" t="inlineStr">
        <is>
          <t>10100111110010101101010000010101</t>
        </is>
      </c>
      <c r="P150" s="16">
        <f>IF(N150=O150,"MATCH","MISMATCH")</f>
        <v/>
      </c>
      <c r="Q150" s="16" t="n">
        <v>40</v>
      </c>
      <c r="R150" s="12">
        <f>IF(Q150&lt;0,"n/a",Q150*Summary!$B$11)</f>
        <v/>
      </c>
      <c r="S150" s="16">
        <f>IF(Q150&lt;0,"NEVER",IF(Q150&lt;=Summary!$B$12,"OK","OVER LIMIT"))</f>
        <v/>
      </c>
      <c r="T150" s="16">
        <f>IF(AND(M150="MATCH",P150="MATCH",S150="OK"),"PASS","FAIL")</f>
        <v/>
      </c>
    </row>
    <row r="151">
      <c r="A151" s="16" t="n">
        <v>1</v>
      </c>
      <c r="B151" s="5" t="inlineStr">
        <is>
          <t>2026-10-22 16:04:25</t>
        </is>
      </c>
      <c r="C151" s="5" t="inlineStr">
        <is>
          <t>input_vectors.hex</t>
        </is>
      </c>
      <c r="D151" s="16" t="n">
        <v>149</v>
      </c>
      <c r="E151" s="16" t="inlineStr">
        <is>
          <t>Mid-stream</t>
        </is>
      </c>
      <c r="F151" s="17" t="inlineStr">
        <is>
          <t>7FCD9EB1</t>
        </is>
      </c>
      <c r="G151" s="17">
        <f>MID(F151,1,2)</f>
        <v/>
      </c>
      <c r="H151" s="17">
        <f>MID(F151,3,2)</f>
        <v/>
      </c>
      <c r="I151" s="17">
        <f>MID(F151,5,2)</f>
        <v/>
      </c>
      <c r="J151" s="17">
        <f>MID(F151,7,2)</f>
        <v/>
      </c>
      <c r="K151" s="17" t="inlineStr">
        <is>
          <t>7FCD9EB1</t>
        </is>
      </c>
      <c r="L151" s="17" t="inlineStr">
        <is>
          <t>7FCD9EB1</t>
        </is>
      </c>
      <c r="M151" s="16">
        <f>IF(K151=L151,"MATCH","MISMATCH")</f>
        <v/>
      </c>
      <c r="N151" s="18" t="inlineStr">
        <is>
          <t>01111111110011011001111010110001</t>
        </is>
      </c>
      <c r="O151" s="18" t="inlineStr">
        <is>
          <t>01111111110011011001111010110001</t>
        </is>
      </c>
      <c r="P151" s="16">
        <f>IF(N151=O151,"MATCH","MISMATCH")</f>
        <v/>
      </c>
      <c r="Q151" s="16" t="n">
        <v>40</v>
      </c>
      <c r="R151" s="12">
        <f>IF(Q151&lt;0,"n/a",Q151*Summary!$B$11)</f>
        <v/>
      </c>
      <c r="S151" s="16">
        <f>IF(Q151&lt;0,"NEVER",IF(Q151&lt;=Summary!$B$12,"OK","OVER LIMIT"))</f>
        <v/>
      </c>
      <c r="T151" s="16">
        <f>IF(AND(M151="MATCH",P151="MATCH",S151="OK"),"PASS","FAIL")</f>
        <v/>
      </c>
    </row>
    <row r="152">
      <c r="A152" s="16" t="n">
        <v>1</v>
      </c>
      <c r="B152" s="5" t="inlineStr">
        <is>
          <t>2026-10-22 16:04:25</t>
        </is>
      </c>
      <c r="C152" s="5" t="inlineStr">
        <is>
          <t>input_vectors.hex</t>
        </is>
      </c>
      <c r="D152" s="16" t="n">
        <v>150</v>
      </c>
      <c r="E152" s="16" t="inlineStr">
        <is>
          <t>Mid-stream</t>
        </is>
      </c>
      <c r="F152" s="17" t="inlineStr">
        <is>
          <t>654821D0</t>
        </is>
      </c>
      <c r="G152" s="17">
        <f>MID(F152,1,2)</f>
        <v/>
      </c>
      <c r="H152" s="17">
        <f>MID(F152,3,2)</f>
        <v/>
      </c>
      <c r="I152" s="17">
        <f>MID(F152,5,2)</f>
        <v/>
      </c>
      <c r="J152" s="17">
        <f>MID(F152,7,2)</f>
        <v/>
      </c>
      <c r="K152" s="17" t="inlineStr">
        <is>
          <t>654821D0</t>
        </is>
      </c>
      <c r="L152" s="17" t="inlineStr">
        <is>
          <t>654821D0</t>
        </is>
      </c>
      <c r="M152" s="16">
        <f>IF(K152=L152,"MATCH","MISMATCH")</f>
        <v/>
      </c>
      <c r="N152" s="18" t="inlineStr">
        <is>
          <t>01100101010010000010000111010000</t>
        </is>
      </c>
      <c r="O152" s="18" t="inlineStr">
        <is>
          <t>01100101010010000010000111010000</t>
        </is>
      </c>
      <c r="P152" s="16">
        <f>IF(N152=O152,"MATCH","MISMATCH")</f>
        <v/>
      </c>
      <c r="Q152" s="16" t="n">
        <v>40</v>
      </c>
      <c r="R152" s="12">
        <f>IF(Q152&lt;0,"n/a",Q152*Summary!$B$11)</f>
        <v/>
      </c>
      <c r="S152" s="16">
        <f>IF(Q152&lt;0,"NEVER",IF(Q152&lt;=Summary!$B$12,"OK","OVER LIMIT"))</f>
        <v/>
      </c>
      <c r="T152" s="16">
        <f>IF(AND(M152="MATCH",P152="MATCH",S152="OK"),"PASS","FAIL")</f>
        <v/>
      </c>
    </row>
    <row r="153">
      <c r="A153" s="16" t="n">
        <v>1</v>
      </c>
      <c r="B153" s="5" t="inlineStr">
        <is>
          <t>2026-10-22 16:04:25</t>
        </is>
      </c>
      <c r="C153" s="5" t="inlineStr">
        <is>
          <t>input_vectors.hex</t>
        </is>
      </c>
      <c r="D153" s="16" t="n">
        <v>151</v>
      </c>
      <c r="E153" s="16" t="inlineStr">
        <is>
          <t>Mid-stream</t>
        </is>
      </c>
      <c r="F153" s="17" t="inlineStr">
        <is>
          <t>E27A984D</t>
        </is>
      </c>
      <c r="G153" s="17">
        <f>MID(F153,1,2)</f>
        <v/>
      </c>
      <c r="H153" s="17">
        <f>MID(F153,3,2)</f>
        <v/>
      </c>
      <c r="I153" s="17">
        <f>MID(F153,5,2)</f>
        <v/>
      </c>
      <c r="J153" s="17">
        <f>MID(F153,7,2)</f>
        <v/>
      </c>
      <c r="K153" s="17" t="inlineStr">
        <is>
          <t>E27A984D</t>
        </is>
      </c>
      <c r="L153" s="17" t="inlineStr">
        <is>
          <t>E27A984D</t>
        </is>
      </c>
      <c r="M153" s="16">
        <f>IF(K153=L153,"MATCH","MISMATCH")</f>
        <v/>
      </c>
      <c r="N153" s="18" t="inlineStr">
        <is>
          <t>11100010011110101001100001001101</t>
        </is>
      </c>
      <c r="O153" s="18" t="inlineStr">
        <is>
          <t>11100010011110101001100001001101</t>
        </is>
      </c>
      <c r="P153" s="16">
        <f>IF(N153=O153,"MATCH","MISMATCH")</f>
        <v/>
      </c>
      <c r="Q153" s="16" t="n">
        <v>40</v>
      </c>
      <c r="R153" s="12">
        <f>IF(Q153&lt;0,"n/a",Q153*Summary!$B$11)</f>
        <v/>
      </c>
      <c r="S153" s="16">
        <f>IF(Q153&lt;0,"NEVER",IF(Q153&lt;=Summary!$B$12,"OK","OVER LIMIT"))</f>
        <v/>
      </c>
      <c r="T153" s="16">
        <f>IF(AND(M153="MATCH",P153="MATCH",S153="OK"),"PASS","FAIL")</f>
        <v/>
      </c>
    </row>
    <row r="154">
      <c r="A154" s="16" t="n">
        <v>1</v>
      </c>
      <c r="B154" s="5" t="inlineStr">
        <is>
          <t>2026-10-22 16:04:25</t>
        </is>
      </c>
      <c r="C154" s="5" t="inlineStr">
        <is>
          <t>input_vectors.hex</t>
        </is>
      </c>
      <c r="D154" s="16" t="n">
        <v>152</v>
      </c>
      <c r="E154" s="16" t="inlineStr">
        <is>
          <t>Mid-stream</t>
        </is>
      </c>
      <c r="F154" s="17" t="inlineStr">
        <is>
          <t>EA1FCA65</t>
        </is>
      </c>
      <c r="G154" s="17">
        <f>MID(F154,1,2)</f>
        <v/>
      </c>
      <c r="H154" s="17">
        <f>MID(F154,3,2)</f>
        <v/>
      </c>
      <c r="I154" s="17">
        <f>MID(F154,5,2)</f>
        <v/>
      </c>
      <c r="J154" s="17">
        <f>MID(F154,7,2)</f>
        <v/>
      </c>
      <c r="K154" s="17" t="inlineStr">
        <is>
          <t>EA1FCA65</t>
        </is>
      </c>
      <c r="L154" s="17" t="inlineStr">
        <is>
          <t>EA1FCA65</t>
        </is>
      </c>
      <c r="M154" s="16">
        <f>IF(K154=L154,"MATCH","MISMATCH")</f>
        <v/>
      </c>
      <c r="N154" s="18" t="inlineStr">
        <is>
          <t>11101010000111111100101001100101</t>
        </is>
      </c>
      <c r="O154" s="18" t="inlineStr">
        <is>
          <t>11101010000111111100101001100101</t>
        </is>
      </c>
      <c r="P154" s="16">
        <f>IF(N154=O154,"MATCH","MISMATCH")</f>
        <v/>
      </c>
      <c r="Q154" s="16" t="n">
        <v>40</v>
      </c>
      <c r="R154" s="12">
        <f>IF(Q154&lt;0,"n/a",Q154*Summary!$B$11)</f>
        <v/>
      </c>
      <c r="S154" s="16">
        <f>IF(Q154&lt;0,"NEVER",IF(Q154&lt;=Summary!$B$12,"OK","OVER LIMIT"))</f>
        <v/>
      </c>
      <c r="T154" s="16">
        <f>IF(AND(M154="MATCH",P154="MATCH",S154="OK"),"PASS","FAIL")</f>
        <v/>
      </c>
    </row>
    <row r="155">
      <c r="A155" s="16" t="n">
        <v>1</v>
      </c>
      <c r="B155" s="5" t="inlineStr">
        <is>
          <t>2026-10-22 16:04:25</t>
        </is>
      </c>
      <c r="C155" s="5" t="inlineStr">
        <is>
          <t>input_vectors.hex</t>
        </is>
      </c>
      <c r="D155" s="16" t="n">
        <v>153</v>
      </c>
      <c r="E155" s="16" t="inlineStr">
        <is>
          <t>Mid-stream</t>
        </is>
      </c>
      <c r="F155" s="17" t="inlineStr">
        <is>
          <t>A491F0B2</t>
        </is>
      </c>
      <c r="G155" s="17">
        <f>MID(F155,1,2)</f>
        <v/>
      </c>
      <c r="H155" s="17">
        <f>MID(F155,3,2)</f>
        <v/>
      </c>
      <c r="I155" s="17">
        <f>MID(F155,5,2)</f>
        <v/>
      </c>
      <c r="J155" s="17">
        <f>MID(F155,7,2)</f>
        <v/>
      </c>
      <c r="K155" s="17" t="inlineStr">
        <is>
          <t>A491F0B2</t>
        </is>
      </c>
      <c r="L155" s="17" t="inlineStr">
        <is>
          <t>A491F0B2</t>
        </is>
      </c>
      <c r="M155" s="16">
        <f>IF(K155=L155,"MATCH","MISMATCH")</f>
        <v/>
      </c>
      <c r="N155" s="18" t="inlineStr">
        <is>
          <t>10100100100100011111000010110010</t>
        </is>
      </c>
      <c r="O155" s="18" t="inlineStr">
        <is>
          <t>10100100100100011111000010110010</t>
        </is>
      </c>
      <c r="P155" s="16">
        <f>IF(N155=O155,"MATCH","MISMATCH")</f>
        <v/>
      </c>
      <c r="Q155" s="16" t="n">
        <v>40</v>
      </c>
      <c r="R155" s="12">
        <f>IF(Q155&lt;0,"n/a",Q155*Summary!$B$11)</f>
        <v/>
      </c>
      <c r="S155" s="16">
        <f>IF(Q155&lt;0,"NEVER",IF(Q155&lt;=Summary!$B$12,"OK","OVER LIMIT"))</f>
        <v/>
      </c>
      <c r="T155" s="16">
        <f>IF(AND(M155="MATCH",P155="MATCH",S155="OK"),"PASS","FAIL")</f>
        <v/>
      </c>
    </row>
    <row r="156">
      <c r="A156" s="16" t="n">
        <v>1</v>
      </c>
      <c r="B156" s="5" t="inlineStr">
        <is>
          <t>2026-10-22 16:04:25</t>
        </is>
      </c>
      <c r="C156" s="5" t="inlineStr">
        <is>
          <t>input_vectors.hex</t>
        </is>
      </c>
      <c r="D156" s="16" t="n">
        <v>154</v>
      </c>
      <c r="E156" s="16" t="inlineStr">
        <is>
          <t>Mid-stream</t>
        </is>
      </c>
      <c r="F156" s="17" t="inlineStr">
        <is>
          <t>757750A9</t>
        </is>
      </c>
      <c r="G156" s="17">
        <f>MID(F156,1,2)</f>
        <v/>
      </c>
      <c r="H156" s="17">
        <f>MID(F156,3,2)</f>
        <v/>
      </c>
      <c r="I156" s="17">
        <f>MID(F156,5,2)</f>
        <v/>
      </c>
      <c r="J156" s="17">
        <f>MID(F156,7,2)</f>
        <v/>
      </c>
      <c r="K156" s="17" t="inlineStr">
        <is>
          <t>757750A9</t>
        </is>
      </c>
      <c r="L156" s="17" t="inlineStr">
        <is>
          <t>757750A9</t>
        </is>
      </c>
      <c r="M156" s="16">
        <f>IF(K156=L156,"MATCH","MISMATCH")</f>
        <v/>
      </c>
      <c r="N156" s="18" t="inlineStr">
        <is>
          <t>01110101011101110101000010101001</t>
        </is>
      </c>
      <c r="O156" s="18" t="inlineStr">
        <is>
          <t>01110101011101110101000010101001</t>
        </is>
      </c>
      <c r="P156" s="16">
        <f>IF(N156=O156,"MATCH","MISMATCH")</f>
        <v/>
      </c>
      <c r="Q156" s="16" t="n">
        <v>40</v>
      </c>
      <c r="R156" s="12">
        <f>IF(Q156&lt;0,"n/a",Q156*Summary!$B$11)</f>
        <v/>
      </c>
      <c r="S156" s="16">
        <f>IF(Q156&lt;0,"NEVER",IF(Q156&lt;=Summary!$B$12,"OK","OVER LIMIT"))</f>
        <v/>
      </c>
      <c r="T156" s="16">
        <f>IF(AND(M156="MATCH",P156="MATCH",S156="OK"),"PASS","FAIL")</f>
        <v/>
      </c>
    </row>
    <row r="157">
      <c r="A157" s="16" t="n">
        <v>1</v>
      </c>
      <c r="B157" s="5" t="inlineStr">
        <is>
          <t>2026-10-22 16:04:25</t>
        </is>
      </c>
      <c r="C157" s="5" t="inlineStr">
        <is>
          <t>input_vectors.hex</t>
        </is>
      </c>
      <c r="D157" s="16" t="n">
        <v>155</v>
      </c>
      <c r="E157" s="16" t="inlineStr">
        <is>
          <t>Mid-stream</t>
        </is>
      </c>
      <c r="F157" s="17" t="inlineStr">
        <is>
          <t>24933B83</t>
        </is>
      </c>
      <c r="G157" s="17">
        <f>MID(F157,1,2)</f>
        <v/>
      </c>
      <c r="H157" s="17">
        <f>MID(F157,3,2)</f>
        <v/>
      </c>
      <c r="I157" s="17">
        <f>MID(F157,5,2)</f>
        <v/>
      </c>
      <c r="J157" s="17">
        <f>MID(F157,7,2)</f>
        <v/>
      </c>
      <c r="K157" s="17" t="inlineStr">
        <is>
          <t>24933B83</t>
        </is>
      </c>
      <c r="L157" s="17" t="inlineStr">
        <is>
          <t>24933B83</t>
        </is>
      </c>
      <c r="M157" s="16">
        <f>IF(K157=L157,"MATCH","MISMATCH")</f>
        <v/>
      </c>
      <c r="N157" s="18" t="inlineStr">
        <is>
          <t>00100100100100110011101110000011</t>
        </is>
      </c>
      <c r="O157" s="18" t="inlineStr">
        <is>
          <t>00100100100100110011101110000011</t>
        </is>
      </c>
      <c r="P157" s="16">
        <f>IF(N157=O157,"MATCH","MISMATCH")</f>
        <v/>
      </c>
      <c r="Q157" s="16" t="n">
        <v>40</v>
      </c>
      <c r="R157" s="12">
        <f>IF(Q157&lt;0,"n/a",Q157*Summary!$B$11)</f>
        <v/>
      </c>
      <c r="S157" s="16">
        <f>IF(Q157&lt;0,"NEVER",IF(Q157&lt;=Summary!$B$12,"OK","OVER LIMIT"))</f>
        <v/>
      </c>
      <c r="T157" s="16">
        <f>IF(AND(M157="MATCH",P157="MATCH",S157="OK"),"PASS","FAIL")</f>
        <v/>
      </c>
    </row>
    <row r="158">
      <c r="A158" s="16" t="n">
        <v>1</v>
      </c>
      <c r="B158" s="5" t="inlineStr">
        <is>
          <t>2026-10-22 16:04:25</t>
        </is>
      </c>
      <c r="C158" s="5" t="inlineStr">
        <is>
          <t>input_vectors.hex</t>
        </is>
      </c>
      <c r="D158" s="16" t="n">
        <v>156</v>
      </c>
      <c r="E158" s="16" t="inlineStr">
        <is>
          <t>Mid-stream</t>
        </is>
      </c>
      <c r="F158" s="17" t="inlineStr">
        <is>
          <t>43CF2FDE</t>
        </is>
      </c>
      <c r="G158" s="17">
        <f>MID(F158,1,2)</f>
        <v/>
      </c>
      <c r="H158" s="17">
        <f>MID(F158,3,2)</f>
        <v/>
      </c>
      <c r="I158" s="17">
        <f>MID(F158,5,2)</f>
        <v/>
      </c>
      <c r="J158" s="17">
        <f>MID(F158,7,2)</f>
        <v/>
      </c>
      <c r="K158" s="17" t="inlineStr">
        <is>
          <t>43CF2FDE</t>
        </is>
      </c>
      <c r="L158" s="17" t="inlineStr">
        <is>
          <t>43CF2FDE</t>
        </is>
      </c>
      <c r="M158" s="16">
        <f>IF(K158=L158,"MATCH","MISMATCH")</f>
        <v/>
      </c>
      <c r="N158" s="18" t="inlineStr">
        <is>
          <t>01000011110011110010111111011110</t>
        </is>
      </c>
      <c r="O158" s="18" t="inlineStr">
        <is>
          <t>01000011110011110010111111011110</t>
        </is>
      </c>
      <c r="P158" s="16">
        <f>IF(N158=O158,"MATCH","MISMATCH")</f>
        <v/>
      </c>
      <c r="Q158" s="16" t="n">
        <v>40</v>
      </c>
      <c r="R158" s="12">
        <f>IF(Q158&lt;0,"n/a",Q158*Summary!$B$11)</f>
        <v/>
      </c>
      <c r="S158" s="16">
        <f>IF(Q158&lt;0,"NEVER",IF(Q158&lt;=Summary!$B$12,"OK","OVER LIMIT"))</f>
        <v/>
      </c>
      <c r="T158" s="16">
        <f>IF(AND(M158="MATCH",P158="MATCH",S158="OK"),"PASS","FAIL")</f>
        <v/>
      </c>
    </row>
    <row r="159">
      <c r="A159" s="16" t="n">
        <v>1</v>
      </c>
      <c r="B159" s="5" t="inlineStr">
        <is>
          <t>2026-10-22 16:04:25</t>
        </is>
      </c>
      <c r="C159" s="5" t="inlineStr">
        <is>
          <t>input_vectors.hex</t>
        </is>
      </c>
      <c r="D159" s="16" t="n">
        <v>157</v>
      </c>
      <c r="E159" s="16" t="inlineStr">
        <is>
          <t>Mid-stream</t>
        </is>
      </c>
      <c r="F159" s="17" t="inlineStr">
        <is>
          <t>23BED01D</t>
        </is>
      </c>
      <c r="G159" s="17">
        <f>MID(F159,1,2)</f>
        <v/>
      </c>
      <c r="H159" s="17">
        <f>MID(F159,3,2)</f>
        <v/>
      </c>
      <c r="I159" s="17">
        <f>MID(F159,5,2)</f>
        <v/>
      </c>
      <c r="J159" s="17">
        <f>MID(F159,7,2)</f>
        <v/>
      </c>
      <c r="K159" s="17" t="inlineStr">
        <is>
          <t>23BED01D</t>
        </is>
      </c>
      <c r="L159" s="17" t="inlineStr">
        <is>
          <t>23BED01D</t>
        </is>
      </c>
      <c r="M159" s="16">
        <f>IF(K159=L159,"MATCH","MISMATCH")</f>
        <v/>
      </c>
      <c r="N159" s="18" t="inlineStr">
        <is>
          <t>00100011101111101101000000011101</t>
        </is>
      </c>
      <c r="O159" s="18" t="inlineStr">
        <is>
          <t>00100011101111101101000000011101</t>
        </is>
      </c>
      <c r="P159" s="16">
        <f>IF(N159=O159,"MATCH","MISMATCH")</f>
        <v/>
      </c>
      <c r="Q159" s="16" t="n">
        <v>40</v>
      </c>
      <c r="R159" s="12">
        <f>IF(Q159&lt;0,"n/a",Q159*Summary!$B$11)</f>
        <v/>
      </c>
      <c r="S159" s="16">
        <f>IF(Q159&lt;0,"NEVER",IF(Q159&lt;=Summary!$B$12,"OK","OVER LIMIT"))</f>
        <v/>
      </c>
      <c r="T159" s="16">
        <f>IF(AND(M159="MATCH",P159="MATCH",S159="OK"),"PASS","FAIL")</f>
        <v/>
      </c>
    </row>
    <row r="160">
      <c r="A160" s="16" t="n">
        <v>1</v>
      </c>
      <c r="B160" s="5" t="inlineStr">
        <is>
          <t>2026-10-22 16:04:25</t>
        </is>
      </c>
      <c r="C160" s="5" t="inlineStr">
        <is>
          <t>input_vectors.hex</t>
        </is>
      </c>
      <c r="D160" s="16" t="n">
        <v>158</v>
      </c>
      <c r="E160" s="16" t="inlineStr">
        <is>
          <t>Mid-stream</t>
        </is>
      </c>
      <c r="F160" s="17" t="inlineStr">
        <is>
          <t>3F22FAF8</t>
        </is>
      </c>
      <c r="G160" s="17">
        <f>MID(F160,1,2)</f>
        <v/>
      </c>
      <c r="H160" s="17">
        <f>MID(F160,3,2)</f>
        <v/>
      </c>
      <c r="I160" s="17">
        <f>MID(F160,5,2)</f>
        <v/>
      </c>
      <c r="J160" s="17">
        <f>MID(F160,7,2)</f>
        <v/>
      </c>
      <c r="K160" s="17" t="inlineStr">
        <is>
          <t>3F22FAF8</t>
        </is>
      </c>
      <c r="L160" s="17" t="inlineStr">
        <is>
          <t>3F22FAF8</t>
        </is>
      </c>
      <c r="M160" s="16">
        <f>IF(K160=L160,"MATCH","MISMATCH")</f>
        <v/>
      </c>
      <c r="N160" s="18" t="inlineStr">
        <is>
          <t>00111111001000101111101011111000</t>
        </is>
      </c>
      <c r="O160" s="18" t="inlineStr">
        <is>
          <t>00111111001000101111101011111000</t>
        </is>
      </c>
      <c r="P160" s="16">
        <f>IF(N160=O160,"MATCH","MISMATCH")</f>
        <v/>
      </c>
      <c r="Q160" s="16" t="n">
        <v>40</v>
      </c>
      <c r="R160" s="12">
        <f>IF(Q160&lt;0,"n/a",Q160*Summary!$B$11)</f>
        <v/>
      </c>
      <c r="S160" s="16">
        <f>IF(Q160&lt;0,"NEVER",IF(Q160&lt;=Summary!$B$12,"OK","OVER LIMIT"))</f>
        <v/>
      </c>
      <c r="T160" s="16">
        <f>IF(AND(M160="MATCH",P160="MATCH",S160="OK"),"PASS","FAIL")</f>
        <v/>
      </c>
    </row>
    <row r="161">
      <c r="A161" s="16" t="n">
        <v>1</v>
      </c>
      <c r="B161" s="5" t="inlineStr">
        <is>
          <t>2026-10-22 16:04:25</t>
        </is>
      </c>
      <c r="C161" s="5" t="inlineStr">
        <is>
          <t>input_vectors.hex</t>
        </is>
      </c>
      <c r="D161" s="16" t="n">
        <v>159</v>
      </c>
      <c r="E161" s="16" t="inlineStr">
        <is>
          <t>Mid-stream</t>
        </is>
      </c>
      <c r="F161" s="17" t="inlineStr">
        <is>
          <t>BEB79919</t>
        </is>
      </c>
      <c r="G161" s="17">
        <f>MID(F161,1,2)</f>
        <v/>
      </c>
      <c r="H161" s="17">
        <f>MID(F161,3,2)</f>
        <v/>
      </c>
      <c r="I161" s="17">
        <f>MID(F161,5,2)</f>
        <v/>
      </c>
      <c r="J161" s="17">
        <f>MID(F161,7,2)</f>
        <v/>
      </c>
      <c r="K161" s="17" t="inlineStr">
        <is>
          <t>BEB79919</t>
        </is>
      </c>
      <c r="L161" s="17" t="inlineStr">
        <is>
          <t>BEB79919</t>
        </is>
      </c>
      <c r="M161" s="16">
        <f>IF(K161=L161,"MATCH","MISMATCH")</f>
        <v/>
      </c>
      <c r="N161" s="18" t="inlineStr">
        <is>
          <t>10111110101101111001100100011001</t>
        </is>
      </c>
      <c r="O161" s="18" t="inlineStr">
        <is>
          <t>10111110101101111001100100011001</t>
        </is>
      </c>
      <c r="P161" s="16">
        <f>IF(N161=O161,"MATCH","MISMATCH")</f>
        <v/>
      </c>
      <c r="Q161" s="16" t="n">
        <v>40</v>
      </c>
      <c r="R161" s="12">
        <f>IF(Q161&lt;0,"n/a",Q161*Summary!$B$11)</f>
        <v/>
      </c>
      <c r="S161" s="16">
        <f>IF(Q161&lt;0,"NEVER",IF(Q161&lt;=Summary!$B$12,"OK","OVER LIMIT"))</f>
        <v/>
      </c>
      <c r="T161" s="16">
        <f>IF(AND(M161="MATCH",P161="MATCH",S161="OK"),"PASS","FAIL")</f>
        <v/>
      </c>
    </row>
    <row r="162">
      <c r="A162" s="16" t="n">
        <v>1</v>
      </c>
      <c r="B162" s="5" t="inlineStr">
        <is>
          <t>2026-10-22 16:04:25</t>
        </is>
      </c>
      <c r="C162" s="5" t="inlineStr">
        <is>
          <t>input_vectors.hex</t>
        </is>
      </c>
      <c r="D162" s="16" t="n">
        <v>160</v>
      </c>
      <c r="E162" s="16" t="inlineStr">
        <is>
          <t>Mid-stream</t>
        </is>
      </c>
      <c r="F162" s="17" t="inlineStr">
        <is>
          <t>8FB5D27B</t>
        </is>
      </c>
      <c r="G162" s="17">
        <f>MID(F162,1,2)</f>
        <v/>
      </c>
      <c r="H162" s="17">
        <f>MID(F162,3,2)</f>
        <v/>
      </c>
      <c r="I162" s="17">
        <f>MID(F162,5,2)</f>
        <v/>
      </c>
      <c r="J162" s="17">
        <f>MID(F162,7,2)</f>
        <v/>
      </c>
      <c r="K162" s="17" t="inlineStr">
        <is>
          <t>8FB5D27B</t>
        </is>
      </c>
      <c r="L162" s="17" t="inlineStr">
        <is>
          <t>8FB5D27B</t>
        </is>
      </c>
      <c r="M162" s="16">
        <f>IF(K162=L162,"MATCH","MISMATCH")</f>
        <v/>
      </c>
      <c r="N162" s="18" t="inlineStr">
        <is>
          <t>10001111101101011101001001111011</t>
        </is>
      </c>
      <c r="O162" s="18" t="inlineStr">
        <is>
          <t>10001111101101011101001001111011</t>
        </is>
      </c>
      <c r="P162" s="16">
        <f>IF(N162=O162,"MATCH","MISMATCH")</f>
        <v/>
      </c>
      <c r="Q162" s="16" t="n">
        <v>40</v>
      </c>
      <c r="R162" s="12">
        <f>IF(Q162&lt;0,"n/a",Q162*Summary!$B$11)</f>
        <v/>
      </c>
      <c r="S162" s="16">
        <f>IF(Q162&lt;0,"NEVER",IF(Q162&lt;=Summary!$B$12,"OK","OVER LIMIT"))</f>
        <v/>
      </c>
      <c r="T162" s="16">
        <f>IF(AND(M162="MATCH",P162="MATCH",S162="OK"),"PASS","FAIL")</f>
        <v/>
      </c>
    </row>
    <row r="163">
      <c r="A163" s="16" t="n">
        <v>1</v>
      </c>
      <c r="B163" s="5" t="inlineStr">
        <is>
          <t>2026-10-22 16:04:25</t>
        </is>
      </c>
      <c r="C163" s="5" t="inlineStr">
        <is>
          <t>input_vectors.hex</t>
        </is>
      </c>
      <c r="D163" s="16" t="n">
        <v>161</v>
      </c>
      <c r="E163" s="16" t="inlineStr">
        <is>
          <t>Mid-stream</t>
        </is>
      </c>
      <c r="F163" s="17" t="inlineStr">
        <is>
          <t>89FA6A68</t>
        </is>
      </c>
      <c r="G163" s="17">
        <f>MID(F163,1,2)</f>
        <v/>
      </c>
      <c r="H163" s="17">
        <f>MID(F163,3,2)</f>
        <v/>
      </c>
      <c r="I163" s="17">
        <f>MID(F163,5,2)</f>
        <v/>
      </c>
      <c r="J163" s="17">
        <f>MID(F163,7,2)</f>
        <v/>
      </c>
      <c r="K163" s="17" t="inlineStr">
        <is>
          <t>89FA6A68</t>
        </is>
      </c>
      <c r="L163" s="17" t="inlineStr">
        <is>
          <t>89FA6A68</t>
        </is>
      </c>
      <c r="M163" s="16">
        <f>IF(K163=L163,"MATCH","MISMATCH")</f>
        <v/>
      </c>
      <c r="N163" s="18" t="inlineStr">
        <is>
          <t>10001001111110100110101001101000</t>
        </is>
      </c>
      <c r="O163" s="18" t="inlineStr">
        <is>
          <t>10001001111110100110101001101000</t>
        </is>
      </c>
      <c r="P163" s="16">
        <f>IF(N163=O163,"MATCH","MISMATCH")</f>
        <v/>
      </c>
      <c r="Q163" s="16" t="n">
        <v>40</v>
      </c>
      <c r="R163" s="12">
        <f>IF(Q163&lt;0,"n/a",Q163*Summary!$B$11)</f>
        <v/>
      </c>
      <c r="S163" s="16">
        <f>IF(Q163&lt;0,"NEVER",IF(Q163&lt;=Summary!$B$12,"OK","OVER LIMIT"))</f>
        <v/>
      </c>
      <c r="T163" s="16">
        <f>IF(AND(M163="MATCH",P163="MATCH",S163="OK"),"PASS","FAIL")</f>
        <v/>
      </c>
    </row>
    <row r="164">
      <c r="A164" s="16" t="n">
        <v>1</v>
      </c>
      <c r="B164" s="5" t="inlineStr">
        <is>
          <t>2026-10-22 16:04:25</t>
        </is>
      </c>
      <c r="C164" s="5" t="inlineStr">
        <is>
          <t>input_vectors.hex</t>
        </is>
      </c>
      <c r="D164" s="16" t="n">
        <v>162</v>
      </c>
      <c r="E164" s="16" t="inlineStr">
        <is>
          <t>Mid-stream</t>
        </is>
      </c>
      <c r="F164" s="17" t="inlineStr">
        <is>
          <t>434308BC</t>
        </is>
      </c>
      <c r="G164" s="17">
        <f>MID(F164,1,2)</f>
        <v/>
      </c>
      <c r="H164" s="17">
        <f>MID(F164,3,2)</f>
        <v/>
      </c>
      <c r="I164" s="17">
        <f>MID(F164,5,2)</f>
        <v/>
      </c>
      <c r="J164" s="17">
        <f>MID(F164,7,2)</f>
        <v/>
      </c>
      <c r="K164" s="17" t="inlineStr">
        <is>
          <t>434308BC</t>
        </is>
      </c>
      <c r="L164" s="17" t="inlineStr">
        <is>
          <t>434308BC</t>
        </is>
      </c>
      <c r="M164" s="16">
        <f>IF(K164=L164,"MATCH","MISMATCH")</f>
        <v/>
      </c>
      <c r="N164" s="18" t="inlineStr">
        <is>
          <t>01000011010000110000100010111100</t>
        </is>
      </c>
      <c r="O164" s="18" t="inlineStr">
        <is>
          <t>01000011010000110000100010111100</t>
        </is>
      </c>
      <c r="P164" s="16">
        <f>IF(N164=O164,"MATCH","MISMATCH")</f>
        <v/>
      </c>
      <c r="Q164" s="16" t="n">
        <v>40</v>
      </c>
      <c r="R164" s="12">
        <f>IF(Q164&lt;0,"n/a",Q164*Summary!$B$11)</f>
        <v/>
      </c>
      <c r="S164" s="16">
        <f>IF(Q164&lt;0,"NEVER",IF(Q164&lt;=Summary!$B$12,"OK","OVER LIMIT"))</f>
        <v/>
      </c>
      <c r="T164" s="16">
        <f>IF(AND(M164="MATCH",P164="MATCH",S164="OK"),"PASS","FAIL")</f>
        <v/>
      </c>
    </row>
    <row r="165">
      <c r="A165" s="16" t="n">
        <v>1</v>
      </c>
      <c r="B165" s="5" t="inlineStr">
        <is>
          <t>2026-10-22 16:04:25</t>
        </is>
      </c>
      <c r="C165" s="5" t="inlineStr">
        <is>
          <t>input_vectors.hex</t>
        </is>
      </c>
      <c r="D165" s="16" t="n">
        <v>163</v>
      </c>
      <c r="E165" s="16" t="inlineStr">
        <is>
          <t>Mid-stream</t>
        </is>
      </c>
      <c r="F165" s="17" t="inlineStr">
        <is>
          <t>BF3C4C06</t>
        </is>
      </c>
      <c r="G165" s="17">
        <f>MID(F165,1,2)</f>
        <v/>
      </c>
      <c r="H165" s="17">
        <f>MID(F165,3,2)</f>
        <v/>
      </c>
      <c r="I165" s="17">
        <f>MID(F165,5,2)</f>
        <v/>
      </c>
      <c r="J165" s="17">
        <f>MID(F165,7,2)</f>
        <v/>
      </c>
      <c r="K165" s="17" t="inlineStr">
        <is>
          <t>BF3C4C06</t>
        </is>
      </c>
      <c r="L165" s="17" t="inlineStr">
        <is>
          <t>BF3C4C06</t>
        </is>
      </c>
      <c r="M165" s="16">
        <f>IF(K165=L165,"MATCH","MISMATCH")</f>
        <v/>
      </c>
      <c r="N165" s="18" t="inlineStr">
        <is>
          <t>10111111001111000100110000000110</t>
        </is>
      </c>
      <c r="O165" s="18" t="inlineStr">
        <is>
          <t>10111111001111000100110000000110</t>
        </is>
      </c>
      <c r="P165" s="16">
        <f>IF(N165=O165,"MATCH","MISMATCH")</f>
        <v/>
      </c>
      <c r="Q165" s="16" t="n">
        <v>40</v>
      </c>
      <c r="R165" s="12">
        <f>IF(Q165&lt;0,"n/a",Q165*Summary!$B$11)</f>
        <v/>
      </c>
      <c r="S165" s="16">
        <f>IF(Q165&lt;0,"NEVER",IF(Q165&lt;=Summary!$B$12,"OK","OVER LIMIT"))</f>
        <v/>
      </c>
      <c r="T165" s="16">
        <f>IF(AND(M165="MATCH",P165="MATCH",S165="OK"),"PASS","FAIL")</f>
        <v/>
      </c>
    </row>
    <row r="166">
      <c r="A166" s="16" t="n">
        <v>1</v>
      </c>
      <c r="B166" s="5" t="inlineStr">
        <is>
          <t>2026-10-22 16:04:25</t>
        </is>
      </c>
      <c r="C166" s="5" t="inlineStr">
        <is>
          <t>input_vectors.hex</t>
        </is>
      </c>
      <c r="D166" s="16" t="n">
        <v>164</v>
      </c>
      <c r="E166" s="16" t="inlineStr">
        <is>
          <t>Mid-stream</t>
        </is>
      </c>
      <c r="F166" s="17" t="inlineStr">
        <is>
          <t>95A76D79</t>
        </is>
      </c>
      <c r="G166" s="17">
        <f>MID(F166,1,2)</f>
        <v/>
      </c>
      <c r="H166" s="17">
        <f>MID(F166,3,2)</f>
        <v/>
      </c>
      <c r="I166" s="17">
        <f>MID(F166,5,2)</f>
        <v/>
      </c>
      <c r="J166" s="17">
        <f>MID(F166,7,2)</f>
        <v/>
      </c>
      <c r="K166" s="17" t="inlineStr">
        <is>
          <t>95A76D79</t>
        </is>
      </c>
      <c r="L166" s="17" t="inlineStr">
        <is>
          <t>95A76D79</t>
        </is>
      </c>
      <c r="M166" s="16">
        <f>IF(K166=L166,"MATCH","MISMATCH")</f>
        <v/>
      </c>
      <c r="N166" s="18" t="inlineStr">
        <is>
          <t>10010101101001110110110101111001</t>
        </is>
      </c>
      <c r="O166" s="18" t="inlineStr">
        <is>
          <t>10010101101001110110110101111001</t>
        </is>
      </c>
      <c r="P166" s="16">
        <f>IF(N166=O166,"MATCH","MISMATCH")</f>
        <v/>
      </c>
      <c r="Q166" s="16" t="n">
        <v>40</v>
      </c>
      <c r="R166" s="12">
        <f>IF(Q166&lt;0,"n/a",Q166*Summary!$B$11)</f>
        <v/>
      </c>
      <c r="S166" s="16">
        <f>IF(Q166&lt;0,"NEVER",IF(Q166&lt;=Summary!$B$12,"OK","OVER LIMIT"))</f>
        <v/>
      </c>
      <c r="T166" s="16">
        <f>IF(AND(M166="MATCH",P166="MATCH",S166="OK"),"PASS","FAIL")</f>
        <v/>
      </c>
    </row>
    <row r="167">
      <c r="A167" s="16" t="n">
        <v>1</v>
      </c>
      <c r="B167" s="5" t="inlineStr">
        <is>
          <t>2026-10-22 16:04:25</t>
        </is>
      </c>
      <c r="C167" s="5" t="inlineStr">
        <is>
          <t>input_vectors.hex</t>
        </is>
      </c>
      <c r="D167" s="16" t="n">
        <v>165</v>
      </c>
      <c r="E167" s="16" t="inlineStr">
        <is>
          <t>Mid-stream</t>
        </is>
      </c>
      <c r="F167" s="17" t="inlineStr">
        <is>
          <t>6DADD6C7</t>
        </is>
      </c>
      <c r="G167" s="17">
        <f>MID(F167,1,2)</f>
        <v/>
      </c>
      <c r="H167" s="17">
        <f>MID(F167,3,2)</f>
        <v/>
      </c>
      <c r="I167" s="17">
        <f>MID(F167,5,2)</f>
        <v/>
      </c>
      <c r="J167" s="17">
        <f>MID(F167,7,2)</f>
        <v/>
      </c>
      <c r="K167" s="17" t="inlineStr">
        <is>
          <t>6DADD6C7</t>
        </is>
      </c>
      <c r="L167" s="17" t="inlineStr">
        <is>
          <t>6DADD6C7</t>
        </is>
      </c>
      <c r="M167" s="16">
        <f>IF(K167=L167,"MATCH","MISMATCH")</f>
        <v/>
      </c>
      <c r="N167" s="18" t="inlineStr">
        <is>
          <t>01101101101011011101011011000111</t>
        </is>
      </c>
      <c r="O167" s="18" t="inlineStr">
        <is>
          <t>01101101101011011101011011000111</t>
        </is>
      </c>
      <c r="P167" s="16">
        <f>IF(N167=O167,"MATCH","MISMATCH")</f>
        <v/>
      </c>
      <c r="Q167" s="16" t="n">
        <v>40</v>
      </c>
      <c r="R167" s="12">
        <f>IF(Q167&lt;0,"n/a",Q167*Summary!$B$11)</f>
        <v/>
      </c>
      <c r="S167" s="16">
        <f>IF(Q167&lt;0,"NEVER",IF(Q167&lt;=Summary!$B$12,"OK","OVER LIMIT"))</f>
        <v/>
      </c>
      <c r="T167" s="16">
        <f>IF(AND(M167="MATCH",P167="MATCH",S167="OK"),"PASS","FAIL")</f>
        <v/>
      </c>
    </row>
    <row r="168">
      <c r="A168" s="16" t="n">
        <v>1</v>
      </c>
      <c r="B168" s="5" t="inlineStr">
        <is>
          <t>2026-10-22 16:04:25</t>
        </is>
      </c>
      <c r="C168" s="5" t="inlineStr">
        <is>
          <t>input_vectors.hex</t>
        </is>
      </c>
      <c r="D168" s="16" t="n">
        <v>166</v>
      </c>
      <c r="E168" s="16" t="inlineStr">
        <is>
          <t>Mid-stream</t>
        </is>
      </c>
      <c r="F168" s="17" t="inlineStr">
        <is>
          <t>E5D7B875</t>
        </is>
      </c>
      <c r="G168" s="17">
        <f>MID(F168,1,2)</f>
        <v/>
      </c>
      <c r="H168" s="17">
        <f>MID(F168,3,2)</f>
        <v/>
      </c>
      <c r="I168" s="17">
        <f>MID(F168,5,2)</f>
        <v/>
      </c>
      <c r="J168" s="17">
        <f>MID(F168,7,2)</f>
        <v/>
      </c>
      <c r="K168" s="17" t="inlineStr">
        <is>
          <t>E5D7B875</t>
        </is>
      </c>
      <c r="L168" s="17" t="inlineStr">
        <is>
          <t>E5D7B875</t>
        </is>
      </c>
      <c r="M168" s="16">
        <f>IF(K168=L168,"MATCH","MISMATCH")</f>
        <v/>
      </c>
      <c r="N168" s="18" t="inlineStr">
        <is>
          <t>11100101110101111011100001110101</t>
        </is>
      </c>
      <c r="O168" s="18" t="inlineStr">
        <is>
          <t>11100101110101111011100001110101</t>
        </is>
      </c>
      <c r="P168" s="16">
        <f>IF(N168=O168,"MATCH","MISMATCH")</f>
        <v/>
      </c>
      <c r="Q168" s="16" t="n">
        <v>40</v>
      </c>
      <c r="R168" s="12">
        <f>IF(Q168&lt;0,"n/a",Q168*Summary!$B$11)</f>
        <v/>
      </c>
      <c r="S168" s="16">
        <f>IF(Q168&lt;0,"NEVER",IF(Q168&lt;=Summary!$B$12,"OK","OVER LIMIT"))</f>
        <v/>
      </c>
      <c r="T168" s="16">
        <f>IF(AND(M168="MATCH",P168="MATCH",S168="OK"),"PASS","FAIL")</f>
        <v/>
      </c>
    </row>
    <row r="169">
      <c r="A169" s="16" t="n">
        <v>1</v>
      </c>
      <c r="B169" s="5" t="inlineStr">
        <is>
          <t>2026-10-22 16:04:25</t>
        </is>
      </c>
      <c r="C169" s="5" t="inlineStr">
        <is>
          <t>input_vectors.hex</t>
        </is>
      </c>
      <c r="D169" s="16" t="n">
        <v>167</v>
      </c>
      <c r="E169" s="16" t="inlineStr">
        <is>
          <t>Mid-stream</t>
        </is>
      </c>
      <c r="F169" s="17" t="inlineStr">
        <is>
          <t>956269F0</t>
        </is>
      </c>
      <c r="G169" s="17">
        <f>MID(F169,1,2)</f>
        <v/>
      </c>
      <c r="H169" s="17">
        <f>MID(F169,3,2)</f>
        <v/>
      </c>
      <c r="I169" s="17">
        <f>MID(F169,5,2)</f>
        <v/>
      </c>
      <c r="J169" s="17">
        <f>MID(F169,7,2)</f>
        <v/>
      </c>
      <c r="K169" s="17" t="inlineStr">
        <is>
          <t>956269F0</t>
        </is>
      </c>
      <c r="L169" s="17" t="inlineStr">
        <is>
          <t>956269F0</t>
        </is>
      </c>
      <c r="M169" s="16">
        <f>IF(K169=L169,"MATCH","MISMATCH")</f>
        <v/>
      </c>
      <c r="N169" s="18" t="inlineStr">
        <is>
          <t>10010101011000100110100111110000</t>
        </is>
      </c>
      <c r="O169" s="18" t="inlineStr">
        <is>
          <t>10010101011000100110100111110000</t>
        </is>
      </c>
      <c r="P169" s="16">
        <f>IF(N169=O169,"MATCH","MISMATCH")</f>
        <v/>
      </c>
      <c r="Q169" s="16" t="n">
        <v>40</v>
      </c>
      <c r="R169" s="12">
        <f>IF(Q169&lt;0,"n/a",Q169*Summary!$B$11)</f>
        <v/>
      </c>
      <c r="S169" s="16">
        <f>IF(Q169&lt;0,"NEVER",IF(Q169&lt;=Summary!$B$12,"OK","OVER LIMIT"))</f>
        <v/>
      </c>
      <c r="T169" s="16">
        <f>IF(AND(M169="MATCH",P169="MATCH",S169="OK"),"PASS","FAIL")</f>
        <v/>
      </c>
    </row>
    <row r="170">
      <c r="A170" s="16" t="n">
        <v>1</v>
      </c>
      <c r="B170" s="5" t="inlineStr">
        <is>
          <t>2026-10-22 16:04:25</t>
        </is>
      </c>
      <c r="C170" s="5" t="inlineStr">
        <is>
          <t>input_vectors.hex</t>
        </is>
      </c>
      <c r="D170" s="16" t="n">
        <v>168</v>
      </c>
      <c r="E170" s="16" t="inlineStr">
        <is>
          <t>Mid-stream</t>
        </is>
      </c>
      <c r="F170" s="17" t="inlineStr">
        <is>
          <t>663F1C97</t>
        </is>
      </c>
      <c r="G170" s="17">
        <f>MID(F170,1,2)</f>
        <v/>
      </c>
      <c r="H170" s="17">
        <f>MID(F170,3,2)</f>
        <v/>
      </c>
      <c r="I170" s="17">
        <f>MID(F170,5,2)</f>
        <v/>
      </c>
      <c r="J170" s="17">
        <f>MID(F170,7,2)</f>
        <v/>
      </c>
      <c r="K170" s="17" t="inlineStr">
        <is>
          <t>663F1C97</t>
        </is>
      </c>
      <c r="L170" s="17" t="inlineStr">
        <is>
          <t>663F1C97</t>
        </is>
      </c>
      <c r="M170" s="16">
        <f>IF(K170=L170,"MATCH","MISMATCH")</f>
        <v/>
      </c>
      <c r="N170" s="18" t="inlineStr">
        <is>
          <t>01100110001111110001110010010111</t>
        </is>
      </c>
      <c r="O170" s="18" t="inlineStr">
        <is>
          <t>01100110001111110001110010010111</t>
        </is>
      </c>
      <c r="P170" s="16">
        <f>IF(N170=O170,"MATCH","MISMATCH")</f>
        <v/>
      </c>
      <c r="Q170" s="16" t="n">
        <v>40</v>
      </c>
      <c r="R170" s="12">
        <f>IF(Q170&lt;0,"n/a",Q170*Summary!$B$11)</f>
        <v/>
      </c>
      <c r="S170" s="16">
        <f>IF(Q170&lt;0,"NEVER",IF(Q170&lt;=Summary!$B$12,"OK","OVER LIMIT"))</f>
        <v/>
      </c>
      <c r="T170" s="16">
        <f>IF(AND(M170="MATCH",P170="MATCH",S170="OK"),"PASS","FAIL")</f>
        <v/>
      </c>
    </row>
    <row r="171">
      <c r="A171" s="16" t="n">
        <v>1</v>
      </c>
      <c r="B171" s="5" t="inlineStr">
        <is>
          <t>2026-10-22 16:04:25</t>
        </is>
      </c>
      <c r="C171" s="5" t="inlineStr">
        <is>
          <t>input_vectors.hex</t>
        </is>
      </c>
      <c r="D171" s="16" t="n">
        <v>169</v>
      </c>
      <c r="E171" s="16" t="inlineStr">
        <is>
          <t>Mid-stream</t>
        </is>
      </c>
      <c r="F171" s="17" t="inlineStr">
        <is>
          <t>5CABCC97</t>
        </is>
      </c>
      <c r="G171" s="17">
        <f>MID(F171,1,2)</f>
        <v/>
      </c>
      <c r="H171" s="17">
        <f>MID(F171,3,2)</f>
        <v/>
      </c>
      <c r="I171" s="17">
        <f>MID(F171,5,2)</f>
        <v/>
      </c>
      <c r="J171" s="17">
        <f>MID(F171,7,2)</f>
        <v/>
      </c>
      <c r="K171" s="17" t="inlineStr">
        <is>
          <t>5CABCC97</t>
        </is>
      </c>
      <c r="L171" s="17" t="inlineStr">
        <is>
          <t>5CABCC97</t>
        </is>
      </c>
      <c r="M171" s="16">
        <f>IF(K171=L171,"MATCH","MISMATCH")</f>
        <v/>
      </c>
      <c r="N171" s="18" t="inlineStr">
        <is>
          <t>01011100101010111100110010010111</t>
        </is>
      </c>
      <c r="O171" s="18" t="inlineStr">
        <is>
          <t>01011100101010111100110010010111</t>
        </is>
      </c>
      <c r="P171" s="16">
        <f>IF(N171=O171,"MATCH","MISMATCH")</f>
        <v/>
      </c>
      <c r="Q171" s="16" t="n">
        <v>32</v>
      </c>
      <c r="R171" s="12">
        <f>IF(Q171&lt;0,"n/a",Q171*Summary!$B$11)</f>
        <v/>
      </c>
      <c r="S171" s="16">
        <f>IF(Q171&lt;0,"NEVER",IF(Q171&lt;=Summary!$B$12,"OK","OVER LIMIT"))</f>
        <v/>
      </c>
      <c r="T171" s="16">
        <f>IF(AND(M171="MATCH",P171="MATCH",S171="OK"),"PASS","FAIL")</f>
        <v/>
      </c>
    </row>
    <row r="172">
      <c r="A172" s="16" t="n">
        <v>1</v>
      </c>
      <c r="B172" s="5" t="inlineStr">
        <is>
          <t>2026-10-22 16:04:25</t>
        </is>
      </c>
      <c r="C172" s="5" t="inlineStr">
        <is>
          <t>input_vectors.hex</t>
        </is>
      </c>
      <c r="D172" s="16" t="n">
        <v>170</v>
      </c>
      <c r="E172" s="16" t="inlineStr">
        <is>
          <t>Mid-stream</t>
        </is>
      </c>
      <c r="F172" s="17" t="inlineStr">
        <is>
          <t>382567B8</t>
        </is>
      </c>
      <c r="G172" s="17">
        <f>MID(F172,1,2)</f>
        <v/>
      </c>
      <c r="H172" s="17">
        <f>MID(F172,3,2)</f>
        <v/>
      </c>
      <c r="I172" s="17">
        <f>MID(F172,5,2)</f>
        <v/>
      </c>
      <c r="J172" s="17">
        <f>MID(F172,7,2)</f>
        <v/>
      </c>
      <c r="K172" s="17" t="inlineStr">
        <is>
          <t>382567B8</t>
        </is>
      </c>
      <c r="L172" s="17" t="inlineStr">
        <is>
          <t>382567B8</t>
        </is>
      </c>
      <c r="M172" s="16">
        <f>IF(K172=L172,"MATCH","MISMATCH")</f>
        <v/>
      </c>
      <c r="N172" s="18" t="inlineStr">
        <is>
          <t>00111000001001010110011110111000</t>
        </is>
      </c>
      <c r="O172" s="18" t="inlineStr">
        <is>
          <t>00111000001001010110011110111000</t>
        </is>
      </c>
      <c r="P172" s="16">
        <f>IF(N172=O172,"MATCH","MISMATCH")</f>
        <v/>
      </c>
      <c r="Q172" s="16" t="n">
        <v>40</v>
      </c>
      <c r="R172" s="12">
        <f>IF(Q172&lt;0,"n/a",Q172*Summary!$B$11)</f>
        <v/>
      </c>
      <c r="S172" s="16">
        <f>IF(Q172&lt;0,"NEVER",IF(Q172&lt;=Summary!$B$12,"OK","OVER LIMIT"))</f>
        <v/>
      </c>
      <c r="T172" s="16">
        <f>IF(AND(M172="MATCH",P172="MATCH",S172="OK"),"PASS","FAIL")</f>
        <v/>
      </c>
    </row>
    <row r="173">
      <c r="A173" s="16" t="n">
        <v>1</v>
      </c>
      <c r="B173" s="5" t="inlineStr">
        <is>
          <t>2026-10-22 16:04:25</t>
        </is>
      </c>
      <c r="C173" s="5" t="inlineStr">
        <is>
          <t>input_vectors.hex</t>
        </is>
      </c>
      <c r="D173" s="16" t="n">
        <v>171</v>
      </c>
      <c r="E173" s="16" t="inlineStr">
        <is>
          <t>Mid-stream</t>
        </is>
      </c>
      <c r="F173" s="17" t="inlineStr">
        <is>
          <t>FF50BDE4</t>
        </is>
      </c>
      <c r="G173" s="17">
        <f>MID(F173,1,2)</f>
        <v/>
      </c>
      <c r="H173" s="17">
        <f>MID(F173,3,2)</f>
        <v/>
      </c>
      <c r="I173" s="17">
        <f>MID(F173,5,2)</f>
        <v/>
      </c>
      <c r="J173" s="17">
        <f>MID(F173,7,2)</f>
        <v/>
      </c>
      <c r="K173" s="17" t="inlineStr">
        <is>
          <t>FF50BDE4</t>
        </is>
      </c>
      <c r="L173" s="17" t="inlineStr">
        <is>
          <t>FF50BDE4</t>
        </is>
      </c>
      <c r="M173" s="16">
        <f>IF(K173=L173,"MATCH","MISMATCH")</f>
        <v/>
      </c>
      <c r="N173" s="18" t="inlineStr">
        <is>
          <t>11111111010100001011110111100100</t>
        </is>
      </c>
      <c r="O173" s="18" t="inlineStr">
        <is>
          <t>11111111010100001011110111100100</t>
        </is>
      </c>
      <c r="P173" s="16">
        <f>IF(N173=O173,"MATCH","MISMATCH")</f>
        <v/>
      </c>
      <c r="Q173" s="16" t="n">
        <v>40</v>
      </c>
      <c r="R173" s="12">
        <f>IF(Q173&lt;0,"n/a",Q173*Summary!$B$11)</f>
        <v/>
      </c>
      <c r="S173" s="16">
        <f>IF(Q173&lt;0,"NEVER",IF(Q173&lt;=Summary!$B$12,"OK","OVER LIMIT"))</f>
        <v/>
      </c>
      <c r="T173" s="16">
        <f>IF(AND(M173="MATCH",P173="MATCH",S173="OK"),"PASS","FAIL")</f>
        <v/>
      </c>
    </row>
    <row r="174">
      <c r="A174" s="16" t="n">
        <v>1</v>
      </c>
      <c r="B174" s="5" t="inlineStr">
        <is>
          <t>2026-10-22 16:04:25</t>
        </is>
      </c>
      <c r="C174" s="5" t="inlineStr">
        <is>
          <t>input_vectors.hex</t>
        </is>
      </c>
      <c r="D174" s="16" t="n">
        <v>172</v>
      </c>
      <c r="E174" s="16" t="inlineStr">
        <is>
          <t>Mid-stream</t>
        </is>
      </c>
      <c r="F174" s="17" t="inlineStr">
        <is>
          <t>FF5E9FF0</t>
        </is>
      </c>
      <c r="G174" s="17">
        <f>MID(F174,1,2)</f>
        <v/>
      </c>
      <c r="H174" s="17">
        <f>MID(F174,3,2)</f>
        <v/>
      </c>
      <c r="I174" s="17">
        <f>MID(F174,5,2)</f>
        <v/>
      </c>
      <c r="J174" s="17">
        <f>MID(F174,7,2)</f>
        <v/>
      </c>
      <c r="K174" s="17" t="inlineStr">
        <is>
          <t>FF5E9FF0</t>
        </is>
      </c>
      <c r="L174" s="17" t="inlineStr">
        <is>
          <t>FF5E9FF0</t>
        </is>
      </c>
      <c r="M174" s="16">
        <f>IF(K174=L174,"MATCH","MISMATCH")</f>
        <v/>
      </c>
      <c r="N174" s="18" t="inlineStr">
        <is>
          <t>11111111010111101001111111110000</t>
        </is>
      </c>
      <c r="O174" s="18" t="inlineStr">
        <is>
          <t>11111111010111101001111111110000</t>
        </is>
      </c>
      <c r="P174" s="16">
        <f>IF(N174=O174,"MATCH","MISMATCH")</f>
        <v/>
      </c>
      <c r="Q174" s="16" t="n">
        <v>40</v>
      </c>
      <c r="R174" s="12">
        <f>IF(Q174&lt;0,"n/a",Q174*Summary!$B$11)</f>
        <v/>
      </c>
      <c r="S174" s="16">
        <f>IF(Q174&lt;0,"NEVER",IF(Q174&lt;=Summary!$B$12,"OK","OVER LIMIT"))</f>
        <v/>
      </c>
      <c r="T174" s="16">
        <f>IF(AND(M174="MATCH",P174="MATCH",S174="OK"),"PASS","FAIL")</f>
        <v/>
      </c>
    </row>
    <row r="175">
      <c r="A175" s="16" t="n">
        <v>1</v>
      </c>
      <c r="B175" s="5" t="inlineStr">
        <is>
          <t>2026-10-22 16:04:25</t>
        </is>
      </c>
      <c r="C175" s="5" t="inlineStr">
        <is>
          <t>input_vectors.hex</t>
        </is>
      </c>
      <c r="D175" s="16" t="n">
        <v>173</v>
      </c>
      <c r="E175" s="16" t="inlineStr">
        <is>
          <t>Mid-stream</t>
        </is>
      </c>
      <c r="F175" s="17" t="inlineStr">
        <is>
          <t>2369B584</t>
        </is>
      </c>
      <c r="G175" s="17">
        <f>MID(F175,1,2)</f>
        <v/>
      </c>
      <c r="H175" s="17">
        <f>MID(F175,3,2)</f>
        <v/>
      </c>
      <c r="I175" s="17">
        <f>MID(F175,5,2)</f>
        <v/>
      </c>
      <c r="J175" s="17">
        <f>MID(F175,7,2)</f>
        <v/>
      </c>
      <c r="K175" s="17" t="inlineStr">
        <is>
          <t>2369B584</t>
        </is>
      </c>
      <c r="L175" s="17" t="inlineStr">
        <is>
          <t>2369B584</t>
        </is>
      </c>
      <c r="M175" s="16">
        <f>IF(K175=L175,"MATCH","MISMATCH")</f>
        <v/>
      </c>
      <c r="N175" s="18" t="inlineStr">
        <is>
          <t>00100011011010011011010110000100</t>
        </is>
      </c>
      <c r="O175" s="18" t="inlineStr">
        <is>
          <t>00100011011010011011010110000100</t>
        </is>
      </c>
      <c r="P175" s="16">
        <f>IF(N175=O175,"MATCH","MISMATCH")</f>
        <v/>
      </c>
      <c r="Q175" s="16" t="n">
        <v>40</v>
      </c>
      <c r="R175" s="12">
        <f>IF(Q175&lt;0,"n/a",Q175*Summary!$B$11)</f>
        <v/>
      </c>
      <c r="S175" s="16">
        <f>IF(Q175&lt;0,"NEVER",IF(Q175&lt;=Summary!$B$12,"OK","OVER LIMIT"))</f>
        <v/>
      </c>
      <c r="T175" s="16">
        <f>IF(AND(M175="MATCH",P175="MATCH",S175="OK"),"PASS","FAIL")</f>
        <v/>
      </c>
    </row>
    <row r="176">
      <c r="A176" s="16" t="n">
        <v>1</v>
      </c>
      <c r="B176" s="5" t="inlineStr">
        <is>
          <t>2026-10-22 16:04:25</t>
        </is>
      </c>
      <c r="C176" s="5" t="inlineStr">
        <is>
          <t>input_vectors.hex</t>
        </is>
      </c>
      <c r="D176" s="16" t="n">
        <v>174</v>
      </c>
      <c r="E176" s="16" t="inlineStr">
        <is>
          <t>Mid-stream</t>
        </is>
      </c>
      <c r="F176" s="17" t="inlineStr">
        <is>
          <t>827050A8</t>
        </is>
      </c>
      <c r="G176" s="17">
        <f>MID(F176,1,2)</f>
        <v/>
      </c>
      <c r="H176" s="17">
        <f>MID(F176,3,2)</f>
        <v/>
      </c>
      <c r="I176" s="17">
        <f>MID(F176,5,2)</f>
        <v/>
      </c>
      <c r="J176" s="17">
        <f>MID(F176,7,2)</f>
        <v/>
      </c>
      <c r="K176" s="17" t="inlineStr">
        <is>
          <t>827050A8</t>
        </is>
      </c>
      <c r="L176" s="17" t="inlineStr">
        <is>
          <t>827050A8</t>
        </is>
      </c>
      <c r="M176" s="16">
        <f>IF(K176=L176,"MATCH","MISMATCH")</f>
        <v/>
      </c>
      <c r="N176" s="18" t="inlineStr">
        <is>
          <t>10000010011100000101000010101000</t>
        </is>
      </c>
      <c r="O176" s="18" t="inlineStr">
        <is>
          <t>10000010011100000101000010101000</t>
        </is>
      </c>
      <c r="P176" s="16">
        <f>IF(N176=O176,"MATCH","MISMATCH")</f>
        <v/>
      </c>
      <c r="Q176" s="16" t="n">
        <v>40</v>
      </c>
      <c r="R176" s="12">
        <f>IF(Q176&lt;0,"n/a",Q176*Summary!$B$11)</f>
        <v/>
      </c>
      <c r="S176" s="16">
        <f>IF(Q176&lt;0,"NEVER",IF(Q176&lt;=Summary!$B$12,"OK","OVER LIMIT"))</f>
        <v/>
      </c>
      <c r="T176" s="16">
        <f>IF(AND(M176="MATCH",P176="MATCH",S176="OK"),"PASS","FAIL")</f>
        <v/>
      </c>
    </row>
    <row r="177">
      <c r="A177" s="16" t="n">
        <v>1</v>
      </c>
      <c r="B177" s="5" t="inlineStr">
        <is>
          <t>2026-10-22 16:04:25</t>
        </is>
      </c>
      <c r="C177" s="5" t="inlineStr">
        <is>
          <t>input_vectors.hex</t>
        </is>
      </c>
      <c r="D177" s="16" t="n">
        <v>175</v>
      </c>
      <c r="E177" s="16" t="inlineStr">
        <is>
          <t>Mid-stream</t>
        </is>
      </c>
      <c r="F177" s="17" t="inlineStr">
        <is>
          <t>7E570DDF</t>
        </is>
      </c>
      <c r="G177" s="17">
        <f>MID(F177,1,2)</f>
        <v/>
      </c>
      <c r="H177" s="17">
        <f>MID(F177,3,2)</f>
        <v/>
      </c>
      <c r="I177" s="17">
        <f>MID(F177,5,2)</f>
        <v/>
      </c>
      <c r="J177" s="17">
        <f>MID(F177,7,2)</f>
        <v/>
      </c>
      <c r="K177" s="17" t="inlineStr">
        <is>
          <t>7E570DDF</t>
        </is>
      </c>
      <c r="L177" s="17" t="inlineStr">
        <is>
          <t>7E570DDF</t>
        </is>
      </c>
      <c r="M177" s="16">
        <f>IF(K177=L177,"MATCH","MISMATCH")</f>
        <v/>
      </c>
      <c r="N177" s="18" t="inlineStr">
        <is>
          <t>01111110010101110000110111011111</t>
        </is>
      </c>
      <c r="O177" s="18" t="inlineStr">
        <is>
          <t>01111110010101110000110111011111</t>
        </is>
      </c>
      <c r="P177" s="16">
        <f>IF(N177=O177,"MATCH","MISMATCH")</f>
        <v/>
      </c>
      <c r="Q177" s="16" t="n">
        <v>40</v>
      </c>
      <c r="R177" s="12">
        <f>IF(Q177&lt;0,"n/a",Q177*Summary!$B$11)</f>
        <v/>
      </c>
      <c r="S177" s="16">
        <f>IF(Q177&lt;0,"NEVER",IF(Q177&lt;=Summary!$B$12,"OK","OVER LIMIT"))</f>
        <v/>
      </c>
      <c r="T177" s="16">
        <f>IF(AND(M177="MATCH",P177="MATCH",S177="OK"),"PASS","FAIL")</f>
        <v/>
      </c>
    </row>
    <row r="178">
      <c r="A178" s="16" t="n">
        <v>1</v>
      </c>
      <c r="B178" s="5" t="inlineStr">
        <is>
          <t>2026-10-22 16:04:25</t>
        </is>
      </c>
      <c r="C178" s="5" t="inlineStr">
        <is>
          <t>input_vectors.hex</t>
        </is>
      </c>
      <c r="D178" s="16" t="n">
        <v>176</v>
      </c>
      <c r="E178" s="16" t="inlineStr">
        <is>
          <t>Mid-stream</t>
        </is>
      </c>
      <c r="F178" s="17" t="inlineStr">
        <is>
          <t>1745D6D8</t>
        </is>
      </c>
      <c r="G178" s="17">
        <f>MID(F178,1,2)</f>
        <v/>
      </c>
      <c r="H178" s="17">
        <f>MID(F178,3,2)</f>
        <v/>
      </c>
      <c r="I178" s="17">
        <f>MID(F178,5,2)</f>
        <v/>
      </c>
      <c r="J178" s="17">
        <f>MID(F178,7,2)</f>
        <v/>
      </c>
      <c r="K178" s="17" t="inlineStr">
        <is>
          <t>1745D6D8</t>
        </is>
      </c>
      <c r="L178" s="17" t="inlineStr">
        <is>
          <t>1745D6D8</t>
        </is>
      </c>
      <c r="M178" s="16">
        <f>IF(K178=L178,"MATCH","MISMATCH")</f>
        <v/>
      </c>
      <c r="N178" s="18" t="inlineStr">
        <is>
          <t>00010111010001011101011011011000</t>
        </is>
      </c>
      <c r="O178" s="18" t="inlineStr">
        <is>
          <t>00010111010001011101011011011000</t>
        </is>
      </c>
      <c r="P178" s="16">
        <f>IF(N178=O178,"MATCH","MISMATCH")</f>
        <v/>
      </c>
      <c r="Q178" s="16" t="n">
        <v>40</v>
      </c>
      <c r="R178" s="12">
        <f>IF(Q178&lt;0,"n/a",Q178*Summary!$B$11)</f>
        <v/>
      </c>
      <c r="S178" s="16">
        <f>IF(Q178&lt;0,"NEVER",IF(Q178&lt;=Summary!$B$12,"OK","OVER LIMIT"))</f>
        <v/>
      </c>
      <c r="T178" s="16">
        <f>IF(AND(M178="MATCH",P178="MATCH",S178="OK"),"PASS","FAIL")</f>
        <v/>
      </c>
    </row>
    <row r="179">
      <c r="A179" s="16" t="n">
        <v>1</v>
      </c>
      <c r="B179" s="5" t="inlineStr">
        <is>
          <t>2026-10-22 16:04:25</t>
        </is>
      </c>
      <c r="C179" s="5" t="inlineStr">
        <is>
          <t>input_vectors.hex</t>
        </is>
      </c>
      <c r="D179" s="16" t="n">
        <v>177</v>
      </c>
      <c r="E179" s="16" t="inlineStr">
        <is>
          <t>Mid-stream</t>
        </is>
      </c>
      <c r="F179" s="17" t="inlineStr">
        <is>
          <t>C17AF08A</t>
        </is>
      </c>
      <c r="G179" s="17">
        <f>MID(F179,1,2)</f>
        <v/>
      </c>
      <c r="H179" s="17">
        <f>MID(F179,3,2)</f>
        <v/>
      </c>
      <c r="I179" s="17">
        <f>MID(F179,5,2)</f>
        <v/>
      </c>
      <c r="J179" s="17">
        <f>MID(F179,7,2)</f>
        <v/>
      </c>
      <c r="K179" s="17" t="inlineStr">
        <is>
          <t>C17AF08A</t>
        </is>
      </c>
      <c r="L179" s="17" t="inlineStr">
        <is>
          <t>C17AF08A</t>
        </is>
      </c>
      <c r="M179" s="16">
        <f>IF(K179=L179,"MATCH","MISMATCH")</f>
        <v/>
      </c>
      <c r="N179" s="18" t="inlineStr">
        <is>
          <t>11000001011110101111000010001010</t>
        </is>
      </c>
      <c r="O179" s="18" t="inlineStr">
        <is>
          <t>11000001011110101111000010001010</t>
        </is>
      </c>
      <c r="P179" s="16">
        <f>IF(N179=O179,"MATCH","MISMATCH")</f>
        <v/>
      </c>
      <c r="Q179" s="16" t="n">
        <v>40</v>
      </c>
      <c r="R179" s="12">
        <f>IF(Q179&lt;0,"n/a",Q179*Summary!$B$11)</f>
        <v/>
      </c>
      <c r="S179" s="16">
        <f>IF(Q179&lt;0,"NEVER",IF(Q179&lt;=Summary!$B$12,"OK","OVER LIMIT"))</f>
        <v/>
      </c>
      <c r="T179" s="16">
        <f>IF(AND(M179="MATCH",P179="MATCH",S179="OK"),"PASS","FAIL")</f>
        <v/>
      </c>
    </row>
    <row r="180">
      <c r="A180" s="16" t="n">
        <v>1</v>
      </c>
      <c r="B180" s="5" t="inlineStr">
        <is>
          <t>2026-10-22 16:04:25</t>
        </is>
      </c>
      <c r="C180" s="5" t="inlineStr">
        <is>
          <t>input_vectors.hex</t>
        </is>
      </c>
      <c r="D180" s="16" t="n">
        <v>178</v>
      </c>
      <c r="E180" s="16" t="inlineStr">
        <is>
          <t>Mid-stream</t>
        </is>
      </c>
      <c r="F180" s="17" t="inlineStr">
        <is>
          <t>0C0FD195</t>
        </is>
      </c>
      <c r="G180" s="17">
        <f>MID(F180,1,2)</f>
        <v/>
      </c>
      <c r="H180" s="17">
        <f>MID(F180,3,2)</f>
        <v/>
      </c>
      <c r="I180" s="17">
        <f>MID(F180,5,2)</f>
        <v/>
      </c>
      <c r="J180" s="17">
        <f>MID(F180,7,2)</f>
        <v/>
      </c>
      <c r="K180" s="17" t="inlineStr">
        <is>
          <t>0C0FD195</t>
        </is>
      </c>
      <c r="L180" s="17" t="inlineStr">
        <is>
          <t>0C0FD195</t>
        </is>
      </c>
      <c r="M180" s="16">
        <f>IF(K180=L180,"MATCH","MISMATCH")</f>
        <v/>
      </c>
      <c r="N180" s="18" t="inlineStr">
        <is>
          <t>00001100000011111101000110010101</t>
        </is>
      </c>
      <c r="O180" s="18" t="inlineStr">
        <is>
          <t>00001100000011111101000110010101</t>
        </is>
      </c>
      <c r="P180" s="16">
        <f>IF(N180=O180,"MATCH","MISMATCH")</f>
        <v/>
      </c>
      <c r="Q180" s="16" t="n">
        <v>40</v>
      </c>
      <c r="R180" s="12">
        <f>IF(Q180&lt;0,"n/a",Q180*Summary!$B$11)</f>
        <v/>
      </c>
      <c r="S180" s="16">
        <f>IF(Q180&lt;0,"NEVER",IF(Q180&lt;=Summary!$B$12,"OK","OVER LIMIT"))</f>
        <v/>
      </c>
      <c r="T180" s="16">
        <f>IF(AND(M180="MATCH",P180="MATCH",S180="OK"),"PASS","FAIL")</f>
        <v/>
      </c>
    </row>
    <row r="181">
      <c r="A181" s="16" t="n">
        <v>1</v>
      </c>
      <c r="B181" s="5" t="inlineStr">
        <is>
          <t>2026-10-22 16:04:25</t>
        </is>
      </c>
      <c r="C181" s="5" t="inlineStr">
        <is>
          <t>input_vectors.hex</t>
        </is>
      </c>
      <c r="D181" s="16" t="n">
        <v>179</v>
      </c>
      <c r="E181" s="16" t="inlineStr">
        <is>
          <t>Mid-stream</t>
        </is>
      </c>
      <c r="F181" s="17" t="inlineStr">
        <is>
          <t>DC713D96</t>
        </is>
      </c>
      <c r="G181" s="17">
        <f>MID(F181,1,2)</f>
        <v/>
      </c>
      <c r="H181" s="17">
        <f>MID(F181,3,2)</f>
        <v/>
      </c>
      <c r="I181" s="17">
        <f>MID(F181,5,2)</f>
        <v/>
      </c>
      <c r="J181" s="17">
        <f>MID(F181,7,2)</f>
        <v/>
      </c>
      <c r="K181" s="17" t="inlineStr">
        <is>
          <t>DC713D96</t>
        </is>
      </c>
      <c r="L181" s="17" t="inlineStr">
        <is>
          <t>DC713D96</t>
        </is>
      </c>
      <c r="M181" s="16">
        <f>IF(K181=L181,"MATCH","MISMATCH")</f>
        <v/>
      </c>
      <c r="N181" s="18" t="inlineStr">
        <is>
          <t>11011100011100010011110110010110</t>
        </is>
      </c>
      <c r="O181" s="18" t="inlineStr">
        <is>
          <t>11011100011100010011110110010110</t>
        </is>
      </c>
      <c r="P181" s="16">
        <f>IF(N181=O181,"MATCH","MISMATCH")</f>
        <v/>
      </c>
      <c r="Q181" s="16" t="n">
        <v>40</v>
      </c>
      <c r="R181" s="12">
        <f>IF(Q181&lt;0,"n/a",Q181*Summary!$B$11)</f>
        <v/>
      </c>
      <c r="S181" s="16">
        <f>IF(Q181&lt;0,"NEVER",IF(Q181&lt;=Summary!$B$12,"OK","OVER LIMIT"))</f>
        <v/>
      </c>
      <c r="T181" s="16">
        <f>IF(AND(M181="MATCH",P181="MATCH",S181="OK"),"PASS","FAIL")</f>
        <v/>
      </c>
    </row>
    <row r="182">
      <c r="A182" s="16" t="n">
        <v>1</v>
      </c>
      <c r="B182" s="5" t="inlineStr">
        <is>
          <t>2026-10-22 16:04:25</t>
        </is>
      </c>
      <c r="C182" s="5" t="inlineStr">
        <is>
          <t>input_vectors.hex</t>
        </is>
      </c>
      <c r="D182" s="16" t="n">
        <v>180</v>
      </c>
      <c r="E182" s="16" t="inlineStr">
        <is>
          <t>Mid-stream</t>
        </is>
      </c>
      <c r="F182" s="17" t="inlineStr">
        <is>
          <t>1C11F735</t>
        </is>
      </c>
      <c r="G182" s="17">
        <f>MID(F182,1,2)</f>
        <v/>
      </c>
      <c r="H182" s="17">
        <f>MID(F182,3,2)</f>
        <v/>
      </c>
      <c r="I182" s="17">
        <f>MID(F182,5,2)</f>
        <v/>
      </c>
      <c r="J182" s="17">
        <f>MID(F182,7,2)</f>
        <v/>
      </c>
      <c r="K182" s="17" t="inlineStr">
        <is>
          <t>1C11F735</t>
        </is>
      </c>
      <c r="L182" s="17" t="inlineStr">
        <is>
          <t>1C11F735</t>
        </is>
      </c>
      <c r="M182" s="16">
        <f>IF(K182=L182,"MATCH","MISMATCH")</f>
        <v/>
      </c>
      <c r="N182" s="18" t="inlineStr">
        <is>
          <t>00011100000100011111011100110101</t>
        </is>
      </c>
      <c r="O182" s="18" t="inlineStr">
        <is>
          <t>00011100000100011111011100110101</t>
        </is>
      </c>
      <c r="P182" s="16">
        <f>IF(N182=O182,"MATCH","MISMATCH")</f>
        <v/>
      </c>
      <c r="Q182" s="16" t="n">
        <v>40</v>
      </c>
      <c r="R182" s="12">
        <f>IF(Q182&lt;0,"n/a",Q182*Summary!$B$11)</f>
        <v/>
      </c>
      <c r="S182" s="16">
        <f>IF(Q182&lt;0,"NEVER",IF(Q182&lt;=Summary!$B$12,"OK","OVER LIMIT"))</f>
        <v/>
      </c>
      <c r="T182" s="16">
        <f>IF(AND(M182="MATCH",P182="MATCH",S182="OK"),"PASS","FAIL")</f>
        <v/>
      </c>
    </row>
    <row r="183">
      <c r="A183" s="16" t="n">
        <v>1</v>
      </c>
      <c r="B183" s="5" t="inlineStr">
        <is>
          <t>2026-10-22 16:04:25</t>
        </is>
      </c>
      <c r="C183" s="5" t="inlineStr">
        <is>
          <t>input_vectors.hex</t>
        </is>
      </c>
      <c r="D183" s="16" t="n">
        <v>181</v>
      </c>
      <c r="E183" s="16" t="inlineStr">
        <is>
          <t>Mid-stream</t>
        </is>
      </c>
      <c r="F183" s="17" t="inlineStr">
        <is>
          <t>27209BDF</t>
        </is>
      </c>
      <c r="G183" s="17">
        <f>MID(F183,1,2)</f>
        <v/>
      </c>
      <c r="H183" s="17">
        <f>MID(F183,3,2)</f>
        <v/>
      </c>
      <c r="I183" s="17">
        <f>MID(F183,5,2)</f>
        <v/>
      </c>
      <c r="J183" s="17">
        <f>MID(F183,7,2)</f>
        <v/>
      </c>
      <c r="K183" s="17" t="inlineStr">
        <is>
          <t>27209BDF</t>
        </is>
      </c>
      <c r="L183" s="17" t="inlineStr">
        <is>
          <t>27209BDF</t>
        </is>
      </c>
      <c r="M183" s="16">
        <f>IF(K183=L183,"MATCH","MISMATCH")</f>
        <v/>
      </c>
      <c r="N183" s="18" t="inlineStr">
        <is>
          <t>00100111001000001001101111011111</t>
        </is>
      </c>
      <c r="O183" s="18" t="inlineStr">
        <is>
          <t>00100111001000001001101111011111</t>
        </is>
      </c>
      <c r="P183" s="16">
        <f>IF(N183=O183,"MATCH","MISMATCH")</f>
        <v/>
      </c>
      <c r="Q183" s="16" t="n">
        <v>40</v>
      </c>
      <c r="R183" s="12">
        <f>IF(Q183&lt;0,"n/a",Q183*Summary!$B$11)</f>
        <v/>
      </c>
      <c r="S183" s="16">
        <f>IF(Q183&lt;0,"NEVER",IF(Q183&lt;=Summary!$B$12,"OK","OVER LIMIT"))</f>
        <v/>
      </c>
      <c r="T183" s="16">
        <f>IF(AND(M183="MATCH",P183="MATCH",S183="OK"),"PASS","FAIL")</f>
        <v/>
      </c>
    </row>
    <row r="184">
      <c r="A184" s="16" t="n">
        <v>1</v>
      </c>
      <c r="B184" s="5" t="inlineStr">
        <is>
          <t>2026-10-22 16:04:25</t>
        </is>
      </c>
      <c r="C184" s="5" t="inlineStr">
        <is>
          <t>input_vectors.hex</t>
        </is>
      </c>
      <c r="D184" s="16" t="n">
        <v>182</v>
      </c>
      <c r="E184" s="16" t="inlineStr">
        <is>
          <t>Mid-stream</t>
        </is>
      </c>
      <c r="F184" s="17" t="inlineStr">
        <is>
          <t>A0A04DC4</t>
        </is>
      </c>
      <c r="G184" s="17">
        <f>MID(F184,1,2)</f>
        <v/>
      </c>
      <c r="H184" s="17">
        <f>MID(F184,3,2)</f>
        <v/>
      </c>
      <c r="I184" s="17">
        <f>MID(F184,5,2)</f>
        <v/>
      </c>
      <c r="J184" s="17">
        <f>MID(F184,7,2)</f>
        <v/>
      </c>
      <c r="K184" s="17" t="inlineStr">
        <is>
          <t>A0A04DC4</t>
        </is>
      </c>
      <c r="L184" s="17" t="inlineStr">
        <is>
          <t>A0A04DC4</t>
        </is>
      </c>
      <c r="M184" s="16">
        <f>IF(K184=L184,"MATCH","MISMATCH")</f>
        <v/>
      </c>
      <c r="N184" s="18" t="inlineStr">
        <is>
          <t>10100000101000000100110111000100</t>
        </is>
      </c>
      <c r="O184" s="18" t="inlineStr">
        <is>
          <t>10100000101000000100110111000100</t>
        </is>
      </c>
      <c r="P184" s="16">
        <f>IF(N184=O184,"MATCH","MISMATCH")</f>
        <v/>
      </c>
      <c r="Q184" s="16" t="n">
        <v>40</v>
      </c>
      <c r="R184" s="12">
        <f>IF(Q184&lt;0,"n/a",Q184*Summary!$B$11)</f>
        <v/>
      </c>
      <c r="S184" s="16">
        <f>IF(Q184&lt;0,"NEVER",IF(Q184&lt;=Summary!$B$12,"OK","OVER LIMIT"))</f>
        <v/>
      </c>
      <c r="T184" s="16">
        <f>IF(AND(M184="MATCH",P184="MATCH",S184="OK"),"PASS","FAIL")</f>
        <v/>
      </c>
    </row>
    <row r="185">
      <c r="A185" s="16" t="n">
        <v>1</v>
      </c>
      <c r="B185" s="5" t="inlineStr">
        <is>
          <t>2026-10-22 16:04:25</t>
        </is>
      </c>
      <c r="C185" s="5" t="inlineStr">
        <is>
          <t>input_vectors.hex</t>
        </is>
      </c>
      <c r="D185" s="16" t="n">
        <v>183</v>
      </c>
      <c r="E185" s="16" t="inlineStr">
        <is>
          <t>Mid-stream</t>
        </is>
      </c>
      <c r="F185" s="17" t="inlineStr">
        <is>
          <t>28F49481</t>
        </is>
      </c>
      <c r="G185" s="17">
        <f>MID(F185,1,2)</f>
        <v/>
      </c>
      <c r="H185" s="17">
        <f>MID(F185,3,2)</f>
        <v/>
      </c>
      <c r="I185" s="17">
        <f>MID(F185,5,2)</f>
        <v/>
      </c>
      <c r="J185" s="17">
        <f>MID(F185,7,2)</f>
        <v/>
      </c>
      <c r="K185" s="17" t="inlineStr">
        <is>
          <t>28F49481</t>
        </is>
      </c>
      <c r="L185" s="17" t="inlineStr">
        <is>
          <t>28F49481</t>
        </is>
      </c>
      <c r="M185" s="16">
        <f>IF(K185=L185,"MATCH","MISMATCH")</f>
        <v/>
      </c>
      <c r="N185" s="18" t="inlineStr">
        <is>
          <t>00101000111101001001010010000001</t>
        </is>
      </c>
      <c r="O185" s="18" t="inlineStr">
        <is>
          <t>00101000111101001001010010000001</t>
        </is>
      </c>
      <c r="P185" s="16">
        <f>IF(N185=O185,"MATCH","MISMATCH")</f>
        <v/>
      </c>
      <c r="Q185" s="16" t="n">
        <v>40</v>
      </c>
      <c r="R185" s="12">
        <f>IF(Q185&lt;0,"n/a",Q185*Summary!$B$11)</f>
        <v/>
      </c>
      <c r="S185" s="16">
        <f>IF(Q185&lt;0,"NEVER",IF(Q185&lt;=Summary!$B$12,"OK","OVER LIMIT"))</f>
        <v/>
      </c>
      <c r="T185" s="16">
        <f>IF(AND(M185="MATCH",P185="MATCH",S185="OK"),"PASS","FAIL")</f>
        <v/>
      </c>
    </row>
    <row r="186">
      <c r="A186" s="16" t="n">
        <v>1</v>
      </c>
      <c r="B186" s="5" t="inlineStr">
        <is>
          <t>2026-10-22 16:04:25</t>
        </is>
      </c>
      <c r="C186" s="5" t="inlineStr">
        <is>
          <t>input_vectors.hex</t>
        </is>
      </c>
      <c r="D186" s="16" t="n">
        <v>184</v>
      </c>
      <c r="E186" s="16" t="inlineStr">
        <is>
          <t>Mid-stream</t>
        </is>
      </c>
      <c r="F186" s="17" t="inlineStr">
        <is>
          <t>CAC5B68C</t>
        </is>
      </c>
      <c r="G186" s="17">
        <f>MID(F186,1,2)</f>
        <v/>
      </c>
      <c r="H186" s="17">
        <f>MID(F186,3,2)</f>
        <v/>
      </c>
      <c r="I186" s="17">
        <f>MID(F186,5,2)</f>
        <v/>
      </c>
      <c r="J186" s="17">
        <f>MID(F186,7,2)</f>
        <v/>
      </c>
      <c r="K186" s="17" t="inlineStr">
        <is>
          <t>CAC5B68C</t>
        </is>
      </c>
      <c r="L186" s="17" t="inlineStr">
        <is>
          <t>CAC5B68C</t>
        </is>
      </c>
      <c r="M186" s="16">
        <f>IF(K186=L186,"MATCH","MISMATCH")</f>
        <v/>
      </c>
      <c r="N186" s="18" t="inlineStr">
        <is>
          <t>11001010110001011011011010001100</t>
        </is>
      </c>
      <c r="O186" s="18" t="inlineStr">
        <is>
          <t>11001010110001011011011010001100</t>
        </is>
      </c>
      <c r="P186" s="16">
        <f>IF(N186=O186,"MATCH","MISMATCH")</f>
        <v/>
      </c>
      <c r="Q186" s="16" t="n">
        <v>40</v>
      </c>
      <c r="R186" s="12">
        <f>IF(Q186&lt;0,"n/a",Q186*Summary!$B$11)</f>
        <v/>
      </c>
      <c r="S186" s="16">
        <f>IF(Q186&lt;0,"NEVER",IF(Q186&lt;=Summary!$B$12,"OK","OVER LIMIT"))</f>
        <v/>
      </c>
      <c r="T186" s="16">
        <f>IF(AND(M186="MATCH",P186="MATCH",S186="OK"),"PASS","FAIL")</f>
        <v/>
      </c>
    </row>
    <row r="187">
      <c r="A187" s="16" t="n">
        <v>1</v>
      </c>
      <c r="B187" s="5" t="inlineStr">
        <is>
          <t>2026-10-22 16:04:25</t>
        </is>
      </c>
      <c r="C187" s="5" t="inlineStr">
        <is>
          <t>input_vectors.hex</t>
        </is>
      </c>
      <c r="D187" s="16" t="n">
        <v>185</v>
      </c>
      <c r="E187" s="16" t="inlineStr">
        <is>
          <t>Mid-stream</t>
        </is>
      </c>
      <c r="F187" s="17" t="inlineStr">
        <is>
          <t>AE340454</t>
        </is>
      </c>
      <c r="G187" s="17">
        <f>MID(F187,1,2)</f>
        <v/>
      </c>
      <c r="H187" s="17">
        <f>MID(F187,3,2)</f>
        <v/>
      </c>
      <c r="I187" s="17">
        <f>MID(F187,5,2)</f>
        <v/>
      </c>
      <c r="J187" s="17">
        <f>MID(F187,7,2)</f>
        <v/>
      </c>
      <c r="K187" s="17" t="inlineStr">
        <is>
          <t>AE340454</t>
        </is>
      </c>
      <c r="L187" s="17" t="inlineStr">
        <is>
          <t>AE340454</t>
        </is>
      </c>
      <c r="M187" s="16">
        <f>IF(K187=L187,"MATCH","MISMATCH")</f>
        <v/>
      </c>
      <c r="N187" s="18" t="inlineStr">
        <is>
          <t>10101110001101000000010001010100</t>
        </is>
      </c>
      <c r="O187" s="18" t="inlineStr">
        <is>
          <t>10101110001101000000010001010100</t>
        </is>
      </c>
      <c r="P187" s="16">
        <f>IF(N187=O187,"MATCH","MISMATCH")</f>
        <v/>
      </c>
      <c r="Q187" s="16" t="n">
        <v>40</v>
      </c>
      <c r="R187" s="12">
        <f>IF(Q187&lt;0,"n/a",Q187*Summary!$B$11)</f>
        <v/>
      </c>
      <c r="S187" s="16">
        <f>IF(Q187&lt;0,"NEVER",IF(Q187&lt;=Summary!$B$12,"OK","OVER LIMIT"))</f>
        <v/>
      </c>
      <c r="T187" s="16">
        <f>IF(AND(M187="MATCH",P187="MATCH",S187="OK"),"PASS","FAIL")</f>
        <v/>
      </c>
    </row>
    <row r="188">
      <c r="A188" s="16" t="n">
        <v>1</v>
      </c>
      <c r="B188" s="5" t="inlineStr">
        <is>
          <t>2026-10-22 16:04:25</t>
        </is>
      </c>
      <c r="C188" s="5" t="inlineStr">
        <is>
          <t>input_vectors.hex</t>
        </is>
      </c>
      <c r="D188" s="16" t="n">
        <v>186</v>
      </c>
      <c r="E188" s="16" t="inlineStr">
        <is>
          <t>Mid-stream</t>
        </is>
      </c>
      <c r="F188" s="17" t="inlineStr">
        <is>
          <t>6C12ACE8</t>
        </is>
      </c>
      <c r="G188" s="17">
        <f>MID(F188,1,2)</f>
        <v/>
      </c>
      <c r="H188" s="17">
        <f>MID(F188,3,2)</f>
        <v/>
      </c>
      <c r="I188" s="17">
        <f>MID(F188,5,2)</f>
        <v/>
      </c>
      <c r="J188" s="17">
        <f>MID(F188,7,2)</f>
        <v/>
      </c>
      <c r="K188" s="17" t="inlineStr">
        <is>
          <t>6C12ACE8</t>
        </is>
      </c>
      <c r="L188" s="17" t="inlineStr">
        <is>
          <t>6C12ACE8</t>
        </is>
      </c>
      <c r="M188" s="16">
        <f>IF(K188=L188,"MATCH","MISMATCH")</f>
        <v/>
      </c>
      <c r="N188" s="18" t="inlineStr">
        <is>
          <t>01101100000100101010110011101000</t>
        </is>
      </c>
      <c r="O188" s="18" t="inlineStr">
        <is>
          <t>01101100000100101010110011101000</t>
        </is>
      </c>
      <c r="P188" s="16">
        <f>IF(N188=O188,"MATCH","MISMATCH")</f>
        <v/>
      </c>
      <c r="Q188" s="16" t="n">
        <v>40</v>
      </c>
      <c r="R188" s="12">
        <f>IF(Q188&lt;0,"n/a",Q188*Summary!$B$11)</f>
        <v/>
      </c>
      <c r="S188" s="16">
        <f>IF(Q188&lt;0,"NEVER",IF(Q188&lt;=Summary!$B$12,"OK","OVER LIMIT"))</f>
        <v/>
      </c>
      <c r="T188" s="16">
        <f>IF(AND(M188="MATCH",P188="MATCH",S188="OK"),"PASS","FAIL")</f>
        <v/>
      </c>
    </row>
    <row r="189">
      <c r="A189" s="16" t="n">
        <v>1</v>
      </c>
      <c r="B189" s="5" t="inlineStr">
        <is>
          <t>2026-10-22 16:04:25</t>
        </is>
      </c>
      <c r="C189" s="5" t="inlineStr">
        <is>
          <t>input_vectors.hex</t>
        </is>
      </c>
      <c r="D189" s="16" t="n">
        <v>187</v>
      </c>
      <c r="E189" s="16" t="inlineStr">
        <is>
          <t>Mid-stream</t>
        </is>
      </c>
      <c r="F189" s="17" t="inlineStr">
        <is>
          <t>98AE4334</t>
        </is>
      </c>
      <c r="G189" s="17">
        <f>MID(F189,1,2)</f>
        <v/>
      </c>
      <c r="H189" s="17">
        <f>MID(F189,3,2)</f>
        <v/>
      </c>
      <c r="I189" s="17">
        <f>MID(F189,5,2)</f>
        <v/>
      </c>
      <c r="J189" s="17">
        <f>MID(F189,7,2)</f>
        <v/>
      </c>
      <c r="K189" s="17" t="inlineStr">
        <is>
          <t>98AE4334</t>
        </is>
      </c>
      <c r="L189" s="17" t="inlineStr">
        <is>
          <t>98AE4334</t>
        </is>
      </c>
      <c r="M189" s="16">
        <f>IF(K189=L189,"MATCH","MISMATCH")</f>
        <v/>
      </c>
      <c r="N189" s="18" t="inlineStr">
        <is>
          <t>10011000101011100100001100110100</t>
        </is>
      </c>
      <c r="O189" s="18" t="inlineStr">
        <is>
          <t>10011000101011100100001100110100</t>
        </is>
      </c>
      <c r="P189" s="16">
        <f>IF(N189=O189,"MATCH","MISMATCH")</f>
        <v/>
      </c>
      <c r="Q189" s="16" t="n">
        <v>40</v>
      </c>
      <c r="R189" s="12">
        <f>IF(Q189&lt;0,"n/a",Q189*Summary!$B$11)</f>
        <v/>
      </c>
      <c r="S189" s="16">
        <f>IF(Q189&lt;0,"NEVER",IF(Q189&lt;=Summary!$B$12,"OK","OVER LIMIT"))</f>
        <v/>
      </c>
      <c r="T189" s="16">
        <f>IF(AND(M189="MATCH",P189="MATCH",S189="OK"),"PASS","FAIL")</f>
        <v/>
      </c>
    </row>
    <row r="190">
      <c r="A190" s="16" t="n">
        <v>1</v>
      </c>
      <c r="B190" s="5" t="inlineStr">
        <is>
          <t>2026-10-22 16:04:25</t>
        </is>
      </c>
      <c r="C190" s="5" t="inlineStr">
        <is>
          <t>input_vectors.hex</t>
        </is>
      </c>
      <c r="D190" s="16" t="n">
        <v>188</v>
      </c>
      <c r="E190" s="16" t="inlineStr">
        <is>
          <t>Mid-stream</t>
        </is>
      </c>
      <c r="F190" s="17" t="inlineStr">
        <is>
          <t>10435A10</t>
        </is>
      </c>
      <c r="G190" s="17">
        <f>MID(F190,1,2)</f>
        <v/>
      </c>
      <c r="H190" s="17">
        <f>MID(F190,3,2)</f>
        <v/>
      </c>
      <c r="I190" s="17">
        <f>MID(F190,5,2)</f>
        <v/>
      </c>
      <c r="J190" s="17">
        <f>MID(F190,7,2)</f>
        <v/>
      </c>
      <c r="K190" s="17" t="inlineStr">
        <is>
          <t>10435A10</t>
        </is>
      </c>
      <c r="L190" s="17" t="inlineStr">
        <is>
          <t>10435A10</t>
        </is>
      </c>
      <c r="M190" s="16">
        <f>IF(K190=L190,"MATCH","MISMATCH")</f>
        <v/>
      </c>
      <c r="N190" s="18" t="inlineStr">
        <is>
          <t>00010000010000110101101000010000</t>
        </is>
      </c>
      <c r="O190" s="18" t="inlineStr">
        <is>
          <t>00010000010000110101101000010000</t>
        </is>
      </c>
      <c r="P190" s="16">
        <f>IF(N190=O190,"MATCH","MISMATCH")</f>
        <v/>
      </c>
      <c r="Q190" s="16" t="n">
        <v>40</v>
      </c>
      <c r="R190" s="12">
        <f>IF(Q190&lt;0,"n/a",Q190*Summary!$B$11)</f>
        <v/>
      </c>
      <c r="S190" s="16">
        <f>IF(Q190&lt;0,"NEVER",IF(Q190&lt;=Summary!$B$12,"OK","OVER LIMIT"))</f>
        <v/>
      </c>
      <c r="T190" s="16">
        <f>IF(AND(M190="MATCH",P190="MATCH",S190="OK"),"PASS","FAIL")</f>
        <v/>
      </c>
    </row>
    <row r="191">
      <c r="A191" s="16" t="n">
        <v>1</v>
      </c>
      <c r="B191" s="5" t="inlineStr">
        <is>
          <t>2026-10-22 16:04:25</t>
        </is>
      </c>
      <c r="C191" s="5" t="inlineStr">
        <is>
          <t>input_vectors.hex</t>
        </is>
      </c>
      <c r="D191" s="16" t="n">
        <v>189</v>
      </c>
      <c r="E191" s="16" t="inlineStr">
        <is>
          <t>Mid-stream</t>
        </is>
      </c>
      <c r="F191" s="17" t="inlineStr">
        <is>
          <t>62801C45</t>
        </is>
      </c>
      <c r="G191" s="17">
        <f>MID(F191,1,2)</f>
        <v/>
      </c>
      <c r="H191" s="17">
        <f>MID(F191,3,2)</f>
        <v/>
      </c>
      <c r="I191" s="17">
        <f>MID(F191,5,2)</f>
        <v/>
      </c>
      <c r="J191" s="17">
        <f>MID(F191,7,2)</f>
        <v/>
      </c>
      <c r="K191" s="17" t="inlineStr">
        <is>
          <t>62801C45</t>
        </is>
      </c>
      <c r="L191" s="17" t="inlineStr">
        <is>
          <t>62801C45</t>
        </is>
      </c>
      <c r="M191" s="16">
        <f>IF(K191=L191,"MATCH","MISMATCH")</f>
        <v/>
      </c>
      <c r="N191" s="18" t="inlineStr">
        <is>
          <t>01100010100000000001110001000101</t>
        </is>
      </c>
      <c r="O191" s="18" t="inlineStr">
        <is>
          <t>01100010100000000001110001000101</t>
        </is>
      </c>
      <c r="P191" s="16">
        <f>IF(N191=O191,"MATCH","MISMATCH")</f>
        <v/>
      </c>
      <c r="Q191" s="16" t="n">
        <v>40</v>
      </c>
      <c r="R191" s="12">
        <f>IF(Q191&lt;0,"n/a",Q191*Summary!$B$11)</f>
        <v/>
      </c>
      <c r="S191" s="16">
        <f>IF(Q191&lt;0,"NEVER",IF(Q191&lt;=Summary!$B$12,"OK","OVER LIMIT"))</f>
        <v/>
      </c>
      <c r="T191" s="16">
        <f>IF(AND(M191="MATCH",P191="MATCH",S191="OK"),"PASS","FAIL")</f>
        <v/>
      </c>
    </row>
    <row r="192">
      <c r="A192" s="16" t="n">
        <v>1</v>
      </c>
      <c r="B192" s="5" t="inlineStr">
        <is>
          <t>2026-10-22 16:04:25</t>
        </is>
      </c>
      <c r="C192" s="5" t="inlineStr">
        <is>
          <t>input_vectors.hex</t>
        </is>
      </c>
      <c r="D192" s="16" t="n">
        <v>190</v>
      </c>
      <c r="E192" s="16" t="inlineStr">
        <is>
          <t>Mid-stream</t>
        </is>
      </c>
      <c r="F192" s="17" t="inlineStr">
        <is>
          <t>61B1CD22</t>
        </is>
      </c>
      <c r="G192" s="17">
        <f>MID(F192,1,2)</f>
        <v/>
      </c>
      <c r="H192" s="17">
        <f>MID(F192,3,2)</f>
        <v/>
      </c>
      <c r="I192" s="17">
        <f>MID(F192,5,2)</f>
        <v/>
      </c>
      <c r="J192" s="17">
        <f>MID(F192,7,2)</f>
        <v/>
      </c>
      <c r="K192" s="17" t="inlineStr">
        <is>
          <t>61B1CD22</t>
        </is>
      </c>
      <c r="L192" s="17" t="inlineStr">
        <is>
          <t>61B1CD22</t>
        </is>
      </c>
      <c r="M192" s="16">
        <f>IF(K192=L192,"MATCH","MISMATCH")</f>
        <v/>
      </c>
      <c r="N192" s="18" t="inlineStr">
        <is>
          <t>01100001101100011100110100100010</t>
        </is>
      </c>
      <c r="O192" s="18" t="inlineStr">
        <is>
          <t>01100001101100011100110100100010</t>
        </is>
      </c>
      <c r="P192" s="16">
        <f>IF(N192=O192,"MATCH","MISMATCH")</f>
        <v/>
      </c>
      <c r="Q192" s="16" t="n">
        <v>40</v>
      </c>
      <c r="R192" s="12">
        <f>IF(Q192&lt;0,"n/a",Q192*Summary!$B$11)</f>
        <v/>
      </c>
      <c r="S192" s="16">
        <f>IF(Q192&lt;0,"NEVER",IF(Q192&lt;=Summary!$B$12,"OK","OVER LIMIT"))</f>
        <v/>
      </c>
      <c r="T192" s="16">
        <f>IF(AND(M192="MATCH",P192="MATCH",S192="OK"),"PASS","FAIL")</f>
        <v/>
      </c>
    </row>
    <row r="193">
      <c r="A193" s="16" t="n">
        <v>1</v>
      </c>
      <c r="B193" s="5" t="inlineStr">
        <is>
          <t>2026-10-22 16:04:25</t>
        </is>
      </c>
      <c r="C193" s="5" t="inlineStr">
        <is>
          <t>input_vectors.hex</t>
        </is>
      </c>
      <c r="D193" s="16" t="n">
        <v>191</v>
      </c>
      <c r="E193" s="16" t="inlineStr">
        <is>
          <t>Mid-stream</t>
        </is>
      </c>
      <c r="F193" s="17" t="inlineStr">
        <is>
          <t>988C24C9</t>
        </is>
      </c>
      <c r="G193" s="17">
        <f>MID(F193,1,2)</f>
        <v/>
      </c>
      <c r="H193" s="17">
        <f>MID(F193,3,2)</f>
        <v/>
      </c>
      <c r="I193" s="17">
        <f>MID(F193,5,2)</f>
        <v/>
      </c>
      <c r="J193" s="17">
        <f>MID(F193,7,2)</f>
        <v/>
      </c>
      <c r="K193" s="17" t="inlineStr">
        <is>
          <t>988C24C9</t>
        </is>
      </c>
      <c r="L193" s="17" t="inlineStr">
        <is>
          <t>988C24C9</t>
        </is>
      </c>
      <c r="M193" s="16">
        <f>IF(K193=L193,"MATCH","MISMATCH")</f>
        <v/>
      </c>
      <c r="N193" s="18" t="inlineStr">
        <is>
          <t>10011000100011000010010011001001</t>
        </is>
      </c>
      <c r="O193" s="18" t="inlineStr">
        <is>
          <t>10011000100011000010010011001001</t>
        </is>
      </c>
      <c r="P193" s="16">
        <f>IF(N193=O193,"MATCH","MISMATCH")</f>
        <v/>
      </c>
      <c r="Q193" s="16" t="n">
        <v>40</v>
      </c>
      <c r="R193" s="12">
        <f>IF(Q193&lt;0,"n/a",Q193*Summary!$B$11)</f>
        <v/>
      </c>
      <c r="S193" s="16">
        <f>IF(Q193&lt;0,"NEVER",IF(Q193&lt;=Summary!$B$12,"OK","OVER LIMIT"))</f>
        <v/>
      </c>
      <c r="T193" s="16">
        <f>IF(AND(M193="MATCH",P193="MATCH",S193="OK"),"PASS","FAIL")</f>
        <v/>
      </c>
    </row>
    <row r="194">
      <c r="A194" s="16" t="n">
        <v>1</v>
      </c>
      <c r="B194" s="5" t="inlineStr">
        <is>
          <t>2026-10-22 16:04:25</t>
        </is>
      </c>
      <c r="C194" s="5" t="inlineStr">
        <is>
          <t>input_vectors.hex</t>
        </is>
      </c>
      <c r="D194" s="16" t="n">
        <v>192</v>
      </c>
      <c r="E194" s="16" t="inlineStr">
        <is>
          <t>Mid-stream</t>
        </is>
      </c>
      <c r="F194" s="17" t="inlineStr">
        <is>
          <t>FF01CF99</t>
        </is>
      </c>
      <c r="G194" s="17">
        <f>MID(F194,1,2)</f>
        <v/>
      </c>
      <c r="H194" s="17">
        <f>MID(F194,3,2)</f>
        <v/>
      </c>
      <c r="I194" s="17">
        <f>MID(F194,5,2)</f>
        <v/>
      </c>
      <c r="J194" s="17">
        <f>MID(F194,7,2)</f>
        <v/>
      </c>
      <c r="K194" s="17" t="inlineStr">
        <is>
          <t>FF01CF99</t>
        </is>
      </c>
      <c r="L194" s="17" t="inlineStr">
        <is>
          <t>FF01CF99</t>
        </is>
      </c>
      <c r="M194" s="16">
        <f>IF(K194=L194,"MATCH","MISMATCH")</f>
        <v/>
      </c>
      <c r="N194" s="18" t="inlineStr">
        <is>
          <t>11111111000000011100111110011001</t>
        </is>
      </c>
      <c r="O194" s="18" t="inlineStr">
        <is>
          <t>11111111000000011100111110011001</t>
        </is>
      </c>
      <c r="P194" s="16">
        <f>IF(N194=O194,"MATCH","MISMATCH")</f>
        <v/>
      </c>
      <c r="Q194" s="16" t="n">
        <v>40</v>
      </c>
      <c r="R194" s="12">
        <f>IF(Q194&lt;0,"n/a",Q194*Summary!$B$11)</f>
        <v/>
      </c>
      <c r="S194" s="16">
        <f>IF(Q194&lt;0,"NEVER",IF(Q194&lt;=Summary!$B$12,"OK","OVER LIMIT"))</f>
        <v/>
      </c>
      <c r="T194" s="16">
        <f>IF(AND(M194="MATCH",P194="MATCH",S194="OK"),"PASS","FAIL")</f>
        <v/>
      </c>
    </row>
    <row r="195">
      <c r="A195" s="16" t="n">
        <v>1</v>
      </c>
      <c r="B195" s="5" t="inlineStr">
        <is>
          <t>2026-10-22 16:04:25</t>
        </is>
      </c>
      <c r="C195" s="5" t="inlineStr">
        <is>
          <t>input_vectors.hex</t>
        </is>
      </c>
      <c r="D195" s="16" t="n">
        <v>193</v>
      </c>
      <c r="E195" s="16" t="inlineStr">
        <is>
          <t>Mid-stream</t>
        </is>
      </c>
      <c r="F195" s="17" t="inlineStr">
        <is>
          <t>77D21E02</t>
        </is>
      </c>
      <c r="G195" s="17">
        <f>MID(F195,1,2)</f>
        <v/>
      </c>
      <c r="H195" s="17">
        <f>MID(F195,3,2)</f>
        <v/>
      </c>
      <c r="I195" s="17">
        <f>MID(F195,5,2)</f>
        <v/>
      </c>
      <c r="J195" s="17">
        <f>MID(F195,7,2)</f>
        <v/>
      </c>
      <c r="K195" s="17" t="inlineStr">
        <is>
          <t>77D21E02</t>
        </is>
      </c>
      <c r="L195" s="17" t="inlineStr">
        <is>
          <t>77D21E02</t>
        </is>
      </c>
      <c r="M195" s="16">
        <f>IF(K195=L195,"MATCH","MISMATCH")</f>
        <v/>
      </c>
      <c r="N195" s="18" t="inlineStr">
        <is>
          <t>01110111110100100001111000000010</t>
        </is>
      </c>
      <c r="O195" s="18" t="inlineStr">
        <is>
          <t>01110111110100100001111000000010</t>
        </is>
      </c>
      <c r="P195" s="16">
        <f>IF(N195=O195,"MATCH","MISMATCH")</f>
        <v/>
      </c>
      <c r="Q195" s="16" t="n">
        <v>40</v>
      </c>
      <c r="R195" s="12">
        <f>IF(Q195&lt;0,"n/a",Q195*Summary!$B$11)</f>
        <v/>
      </c>
      <c r="S195" s="16">
        <f>IF(Q195&lt;0,"NEVER",IF(Q195&lt;=Summary!$B$12,"OK","OVER LIMIT"))</f>
        <v/>
      </c>
      <c r="T195" s="16">
        <f>IF(AND(M195="MATCH",P195="MATCH",S195="OK"),"PASS","FAIL")</f>
        <v/>
      </c>
    </row>
    <row r="196">
      <c r="A196" s="16" t="n">
        <v>1</v>
      </c>
      <c r="B196" s="5" t="inlineStr">
        <is>
          <t>2026-10-22 16:04:25</t>
        </is>
      </c>
      <c r="C196" s="5" t="inlineStr">
        <is>
          <t>input_vectors.hex</t>
        </is>
      </c>
      <c r="D196" s="16" t="n">
        <v>194</v>
      </c>
      <c r="E196" s="16" t="inlineStr">
        <is>
          <t>Mid-stream</t>
        </is>
      </c>
      <c r="F196" s="17" t="inlineStr">
        <is>
          <t>877409A9</t>
        </is>
      </c>
      <c r="G196" s="17">
        <f>MID(F196,1,2)</f>
        <v/>
      </c>
      <c r="H196" s="17">
        <f>MID(F196,3,2)</f>
        <v/>
      </c>
      <c r="I196" s="17">
        <f>MID(F196,5,2)</f>
        <v/>
      </c>
      <c r="J196" s="17">
        <f>MID(F196,7,2)</f>
        <v/>
      </c>
      <c r="K196" s="17" t="inlineStr">
        <is>
          <t>877409A9</t>
        </is>
      </c>
      <c r="L196" s="17" t="inlineStr">
        <is>
          <t>877409A9</t>
        </is>
      </c>
      <c r="M196" s="16">
        <f>IF(K196=L196,"MATCH","MISMATCH")</f>
        <v/>
      </c>
      <c r="N196" s="18" t="inlineStr">
        <is>
          <t>10000111011101000000100110101001</t>
        </is>
      </c>
      <c r="O196" s="18" t="inlineStr">
        <is>
          <t>10000111011101000000100110101001</t>
        </is>
      </c>
      <c r="P196" s="16">
        <f>IF(N196=O196,"MATCH","MISMATCH")</f>
        <v/>
      </c>
      <c r="Q196" s="16" t="n">
        <v>40</v>
      </c>
      <c r="R196" s="12">
        <f>IF(Q196&lt;0,"n/a",Q196*Summary!$B$11)</f>
        <v/>
      </c>
      <c r="S196" s="16">
        <f>IF(Q196&lt;0,"NEVER",IF(Q196&lt;=Summary!$B$12,"OK","OVER LIMIT"))</f>
        <v/>
      </c>
      <c r="T196" s="16">
        <f>IF(AND(M196="MATCH",P196="MATCH",S196="OK"),"PASS","FAIL")</f>
        <v/>
      </c>
    </row>
    <row r="197">
      <c r="A197" s="16" t="n">
        <v>1</v>
      </c>
      <c r="B197" s="5" t="inlineStr">
        <is>
          <t>2026-10-22 16:04:25</t>
        </is>
      </c>
      <c r="C197" s="5" t="inlineStr">
        <is>
          <t>input_vectors.hex</t>
        </is>
      </c>
      <c r="D197" s="16" t="n">
        <v>195</v>
      </c>
      <c r="E197" s="16" t="inlineStr">
        <is>
          <t>Mid-stream</t>
        </is>
      </c>
      <c r="F197" s="17" t="inlineStr">
        <is>
          <t>405CACEC</t>
        </is>
      </c>
      <c r="G197" s="17">
        <f>MID(F197,1,2)</f>
        <v/>
      </c>
      <c r="H197" s="17">
        <f>MID(F197,3,2)</f>
        <v/>
      </c>
      <c r="I197" s="17">
        <f>MID(F197,5,2)</f>
        <v/>
      </c>
      <c r="J197" s="17">
        <f>MID(F197,7,2)</f>
        <v/>
      </c>
      <c r="K197" s="17" t="inlineStr">
        <is>
          <t>405CACEC</t>
        </is>
      </c>
      <c r="L197" s="17" t="inlineStr">
        <is>
          <t>405CACEC</t>
        </is>
      </c>
      <c r="M197" s="16">
        <f>IF(K197=L197,"MATCH","MISMATCH")</f>
        <v/>
      </c>
      <c r="N197" s="18" t="inlineStr">
        <is>
          <t>01000000010111001010110011101100</t>
        </is>
      </c>
      <c r="O197" s="18" t="inlineStr">
        <is>
          <t>01000000010111001010110011101100</t>
        </is>
      </c>
      <c r="P197" s="16">
        <f>IF(N197=O197,"MATCH","MISMATCH")</f>
        <v/>
      </c>
      <c r="Q197" s="16" t="n">
        <v>40</v>
      </c>
      <c r="R197" s="12">
        <f>IF(Q197&lt;0,"n/a",Q197*Summary!$B$11)</f>
        <v/>
      </c>
      <c r="S197" s="16">
        <f>IF(Q197&lt;0,"NEVER",IF(Q197&lt;=Summary!$B$12,"OK","OVER LIMIT"))</f>
        <v/>
      </c>
      <c r="T197" s="16">
        <f>IF(AND(M197="MATCH",P197="MATCH",S197="OK"),"PASS","FAIL")</f>
        <v/>
      </c>
    </row>
    <row r="198">
      <c r="A198" s="16" t="n">
        <v>1</v>
      </c>
      <c r="B198" s="5" t="inlineStr">
        <is>
          <t>2026-10-22 16:04:25</t>
        </is>
      </c>
      <c r="C198" s="5" t="inlineStr">
        <is>
          <t>input_vectors.hex</t>
        </is>
      </c>
      <c r="D198" s="16" t="n">
        <v>196</v>
      </c>
      <c r="E198" s="16" t="inlineStr">
        <is>
          <t>Mid-stream</t>
        </is>
      </c>
      <c r="F198" s="17" t="inlineStr">
        <is>
          <t>F89897B9</t>
        </is>
      </c>
      <c r="G198" s="17">
        <f>MID(F198,1,2)</f>
        <v/>
      </c>
      <c r="H198" s="17">
        <f>MID(F198,3,2)</f>
        <v/>
      </c>
      <c r="I198" s="17">
        <f>MID(F198,5,2)</f>
        <v/>
      </c>
      <c r="J198" s="17">
        <f>MID(F198,7,2)</f>
        <v/>
      </c>
      <c r="K198" s="17" t="inlineStr">
        <is>
          <t>F89897B9</t>
        </is>
      </c>
      <c r="L198" s="17" t="inlineStr">
        <is>
          <t>F89897B9</t>
        </is>
      </c>
      <c r="M198" s="16">
        <f>IF(K198=L198,"MATCH","MISMATCH")</f>
        <v/>
      </c>
      <c r="N198" s="18" t="inlineStr">
        <is>
          <t>11111000100110001001011110111001</t>
        </is>
      </c>
      <c r="O198" s="18" t="inlineStr">
        <is>
          <t>11111000100110001001011110111001</t>
        </is>
      </c>
      <c r="P198" s="16">
        <f>IF(N198=O198,"MATCH","MISMATCH")</f>
        <v/>
      </c>
      <c r="Q198" s="16" t="n">
        <v>40</v>
      </c>
      <c r="R198" s="12">
        <f>IF(Q198&lt;0,"n/a",Q198*Summary!$B$11)</f>
        <v/>
      </c>
      <c r="S198" s="16">
        <f>IF(Q198&lt;0,"NEVER",IF(Q198&lt;=Summary!$B$12,"OK","OVER LIMIT"))</f>
        <v/>
      </c>
      <c r="T198" s="16">
        <f>IF(AND(M198="MATCH",P198="MATCH",S198="OK"),"PASS","FAIL")</f>
        <v/>
      </c>
    </row>
    <row r="199">
      <c r="A199" s="16" t="n">
        <v>1</v>
      </c>
      <c r="B199" s="5" t="inlineStr">
        <is>
          <t>2026-10-22 16:04:25</t>
        </is>
      </c>
      <c r="C199" s="5" t="inlineStr">
        <is>
          <t>input_vectors.hex</t>
        </is>
      </c>
      <c r="D199" s="16" t="n">
        <v>197</v>
      </c>
      <c r="E199" s="16" t="inlineStr">
        <is>
          <t>Mid-stream</t>
        </is>
      </c>
      <c r="F199" s="17" t="inlineStr">
        <is>
          <t>8DA0365B</t>
        </is>
      </c>
      <c r="G199" s="17">
        <f>MID(F199,1,2)</f>
        <v/>
      </c>
      <c r="H199" s="17">
        <f>MID(F199,3,2)</f>
        <v/>
      </c>
      <c r="I199" s="17">
        <f>MID(F199,5,2)</f>
        <v/>
      </c>
      <c r="J199" s="17">
        <f>MID(F199,7,2)</f>
        <v/>
      </c>
      <c r="K199" s="17" t="inlineStr">
        <is>
          <t>8DA0365B</t>
        </is>
      </c>
      <c r="L199" s="17" t="inlineStr">
        <is>
          <t>8DA0365B</t>
        </is>
      </c>
      <c r="M199" s="16">
        <f>IF(K199=L199,"MATCH","MISMATCH")</f>
        <v/>
      </c>
      <c r="N199" s="18" t="inlineStr">
        <is>
          <t>10001101101000000011011001011011</t>
        </is>
      </c>
      <c r="O199" s="18" t="inlineStr">
        <is>
          <t>10001101101000000011011001011011</t>
        </is>
      </c>
      <c r="P199" s="16">
        <f>IF(N199=O199,"MATCH","MISMATCH")</f>
        <v/>
      </c>
      <c r="Q199" s="16" t="n">
        <v>40</v>
      </c>
      <c r="R199" s="12">
        <f>IF(Q199&lt;0,"n/a",Q199*Summary!$B$11)</f>
        <v/>
      </c>
      <c r="S199" s="16">
        <f>IF(Q199&lt;0,"NEVER",IF(Q199&lt;=Summary!$B$12,"OK","OVER LIMIT"))</f>
        <v/>
      </c>
      <c r="T199" s="16">
        <f>IF(AND(M199="MATCH",P199="MATCH",S199="OK"),"PASS","FAIL")</f>
        <v/>
      </c>
    </row>
    <row r="200">
      <c r="A200" s="16" t="n">
        <v>1</v>
      </c>
      <c r="B200" s="5" t="inlineStr">
        <is>
          <t>2026-10-22 16:04:25</t>
        </is>
      </c>
      <c r="C200" s="5" t="inlineStr">
        <is>
          <t>input_vectors.hex</t>
        </is>
      </c>
      <c r="D200" s="16" t="n">
        <v>198</v>
      </c>
      <c r="E200" s="16" t="inlineStr">
        <is>
          <t>Mid-stream</t>
        </is>
      </c>
      <c r="F200" s="17" t="inlineStr">
        <is>
          <t>DC5C0EED</t>
        </is>
      </c>
      <c r="G200" s="17">
        <f>MID(F200,1,2)</f>
        <v/>
      </c>
      <c r="H200" s="17">
        <f>MID(F200,3,2)</f>
        <v/>
      </c>
      <c r="I200" s="17">
        <f>MID(F200,5,2)</f>
        <v/>
      </c>
      <c r="J200" s="17">
        <f>MID(F200,7,2)</f>
        <v/>
      </c>
      <c r="K200" s="17" t="inlineStr">
        <is>
          <t>DC5C0EED</t>
        </is>
      </c>
      <c r="L200" s="17" t="inlineStr">
        <is>
          <t>DC5C0EED</t>
        </is>
      </c>
      <c r="M200" s="16">
        <f>IF(K200=L200,"MATCH","MISMATCH")</f>
        <v/>
      </c>
      <c r="N200" s="18" t="inlineStr">
        <is>
          <t>11011100010111000000111011101101</t>
        </is>
      </c>
      <c r="O200" s="18" t="inlineStr">
        <is>
          <t>11011100010111000000111011101101</t>
        </is>
      </c>
      <c r="P200" s="16">
        <f>IF(N200=O200,"MATCH","MISMATCH")</f>
        <v/>
      </c>
      <c r="Q200" s="16" t="n">
        <v>40</v>
      </c>
      <c r="R200" s="12">
        <f>IF(Q200&lt;0,"n/a",Q200*Summary!$B$11)</f>
        <v/>
      </c>
      <c r="S200" s="16">
        <f>IF(Q200&lt;0,"NEVER",IF(Q200&lt;=Summary!$B$12,"OK","OVER LIMIT"))</f>
        <v/>
      </c>
      <c r="T200" s="16">
        <f>IF(AND(M200="MATCH",P200="MATCH",S200="OK"),"PASS","FAIL")</f>
        <v/>
      </c>
    </row>
    <row r="201">
      <c r="A201" s="16" t="n">
        <v>1</v>
      </c>
      <c r="B201" s="5" t="inlineStr">
        <is>
          <t>2026-10-22 16:04:25</t>
        </is>
      </c>
      <c r="C201" s="5" t="inlineStr">
        <is>
          <t>input_vectors.hex</t>
        </is>
      </c>
      <c r="D201" s="16" t="n">
        <v>199</v>
      </c>
      <c r="E201" s="16" t="inlineStr">
        <is>
          <t>Mid-stream</t>
        </is>
      </c>
      <c r="F201" s="17" t="inlineStr">
        <is>
          <t>F143262F</t>
        </is>
      </c>
      <c r="G201" s="17">
        <f>MID(F201,1,2)</f>
        <v/>
      </c>
      <c r="H201" s="17">
        <f>MID(F201,3,2)</f>
        <v/>
      </c>
      <c r="I201" s="17">
        <f>MID(F201,5,2)</f>
        <v/>
      </c>
      <c r="J201" s="17">
        <f>MID(F201,7,2)</f>
        <v/>
      </c>
      <c r="K201" s="17" t="inlineStr">
        <is>
          <t>F143262F</t>
        </is>
      </c>
      <c r="L201" s="17" t="inlineStr">
        <is>
          <t>F143262F</t>
        </is>
      </c>
      <c r="M201" s="16">
        <f>IF(K201=L201,"MATCH","MISMATCH")</f>
        <v/>
      </c>
      <c r="N201" s="18" t="inlineStr">
        <is>
          <t>11110001010000110010011000101111</t>
        </is>
      </c>
      <c r="O201" s="18" t="inlineStr">
        <is>
          <t>11110001010000110010011000101111</t>
        </is>
      </c>
      <c r="P201" s="16">
        <f>IF(N201=O201,"MATCH","MISMATCH")</f>
        <v/>
      </c>
      <c r="Q201" s="16" t="n">
        <v>40</v>
      </c>
      <c r="R201" s="12">
        <f>IF(Q201&lt;0,"n/a",Q201*Summary!$B$11)</f>
        <v/>
      </c>
      <c r="S201" s="16">
        <f>IF(Q201&lt;0,"NEVER",IF(Q201&lt;=Summary!$B$12,"OK","OVER LIMIT"))</f>
        <v/>
      </c>
      <c r="T201" s="16">
        <f>IF(AND(M201="MATCH",P201="MATCH",S201="OK"),"PASS","FAIL")</f>
        <v/>
      </c>
    </row>
  </sheetData>
  <autoFilter ref="A1:T201"/>
  <conditionalFormatting sqref="M2:M201">
    <cfRule type="cellIs" priority="1" operator="equal" dxfId="0">
      <formula>"PASS"</formula>
    </cfRule>
    <cfRule type="cellIs" priority="2" operator="equal" dxfId="0">
      <formula>"MATCH"</formula>
    </cfRule>
    <cfRule type="cellIs" priority="3" operator="equal" dxfId="0">
      <formula>"OK"</formula>
    </cfRule>
    <cfRule type="cellIs" priority="4" operator="equal" dxfId="1">
      <formula>"FAIL"</formula>
    </cfRule>
    <cfRule type="cellIs" priority="5" operator="equal" dxfId="1">
      <formula>"MISMATCH"</formula>
    </cfRule>
    <cfRule type="cellIs" priority="6" operator="equal" dxfId="1">
      <formula>"OVER LIMIT"</formula>
    </cfRule>
    <cfRule type="cellIs" priority="7" operator="equal" dxfId="1">
      <formula>"NEVER"</formula>
    </cfRule>
  </conditionalFormatting>
  <conditionalFormatting sqref="P2:P201">
    <cfRule type="cellIs" priority="8" operator="equal" dxfId="0">
      <formula>"PASS"</formula>
    </cfRule>
    <cfRule type="cellIs" priority="9" operator="equal" dxfId="0">
      <formula>"MATCH"</formula>
    </cfRule>
    <cfRule type="cellIs" priority="10" operator="equal" dxfId="0">
      <formula>"OK"</formula>
    </cfRule>
    <cfRule type="cellIs" priority="11" operator="equal" dxfId="1">
      <formula>"FAIL"</formula>
    </cfRule>
    <cfRule type="cellIs" priority="12" operator="equal" dxfId="1">
      <formula>"MISMATCH"</formula>
    </cfRule>
    <cfRule type="cellIs" priority="13" operator="equal" dxfId="1">
      <formula>"OVER LIMIT"</formula>
    </cfRule>
    <cfRule type="cellIs" priority="14" operator="equal" dxfId="1">
      <formula>"NEVER"</formula>
    </cfRule>
  </conditionalFormatting>
  <conditionalFormatting sqref="S2:T201">
    <cfRule type="cellIs" priority="15" operator="equal" dxfId="0">
      <formula>"PASS"</formula>
    </cfRule>
    <cfRule type="cellIs" priority="16" operator="equal" dxfId="0">
      <formula>"MATCH"</formula>
    </cfRule>
    <cfRule type="cellIs" priority="17" operator="equal" dxfId="0">
      <formula>"OK"</formula>
    </cfRule>
    <cfRule type="cellIs" priority="18" operator="equal" dxfId="1">
      <formula>"FAIL"</formula>
    </cfRule>
    <cfRule type="cellIs" priority="19" operator="equal" dxfId="1">
      <formula>"MISMATCH"</formula>
    </cfRule>
    <cfRule type="cellIs" priority="20" operator="equal" dxfId="1">
      <formula>"OVER LIMIT"</formula>
    </cfRule>
    <cfRule type="cellIs" priority="21" operator="equal" dxfId="1">
      <formula>"NEVER"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28" customWidth="1" min="4" max="4"/>
    <col width="9" customWidth="1" min="5" max="5"/>
    <col width="9" customWidth="1" min="6" max="6"/>
    <col width="9" customWidth="1" min="7" max="7"/>
    <col width="16" customWidth="1" min="8" max="8"/>
    <col width="14" customWidth="1" min="9" max="9"/>
    <col width="10" customWidth="1" min="10" max="10"/>
  </cols>
  <sheetData>
    <row r="1" ht="32" customHeight="1">
      <c r="A1" s="15" t="inlineStr">
        <is>
          <t>Run #</t>
        </is>
      </c>
      <c r="B1" s="15" t="inlineStr">
        <is>
          <t>Run date / time</t>
        </is>
      </c>
      <c r="C1" s="15" t="inlineStr">
        <is>
          <t>Input file</t>
        </is>
      </c>
      <c r="D1" s="15" t="inlineStr">
        <is>
          <t>Simulator / tool</t>
        </is>
      </c>
      <c r="E1" s="15" t="inlineStr">
        <is>
          <t>Vectors</t>
        </is>
      </c>
      <c r="F1" s="15" t="inlineStr">
        <is>
          <t>Passed</t>
        </is>
      </c>
      <c r="G1" s="15" t="inlineStr">
        <is>
          <t>Failed</t>
        </is>
      </c>
      <c r="H1" s="15" t="inlineStr">
        <is>
          <t>Cold start latency (cycles)</t>
        </is>
      </c>
      <c r="I1" s="15" t="inlineStr">
        <is>
          <t>Max latency (cycles)</t>
        </is>
      </c>
      <c r="J1" s="15" t="inlineStr">
        <is>
          <t>Overall</t>
        </is>
      </c>
    </row>
    <row r="2">
      <c r="A2" s="16" t="n">
        <v>1</v>
      </c>
      <c r="B2" s="5" t="inlineStr">
        <is>
          <t>2026-10-22 16:04:25</t>
        </is>
      </c>
      <c r="C2" s="5" t="inlineStr">
        <is>
          <t>input_vectors.hex</t>
        </is>
      </c>
      <c r="D2" s="5" t="inlineStr">
        <is>
          <t>Vivado XSIM (GUI run)</t>
        </is>
      </c>
      <c r="E2" s="16" t="n">
        <v>200</v>
      </c>
      <c r="F2" s="16" t="n">
        <v>200</v>
      </c>
      <c r="G2" s="16" t="n">
        <v>0</v>
      </c>
      <c r="H2" s="16" t="n">
        <v>33</v>
      </c>
      <c r="I2" s="16" t="n">
        <v>40</v>
      </c>
      <c r="J2" s="16" t="inlineStr">
        <is>
          <t>PASS</t>
        </is>
      </c>
    </row>
  </sheetData>
  <autoFilter ref="A1:J2"/>
  <conditionalFormatting sqref="J2">
    <cfRule type="cellIs" priority="1" operator="equal" dxfId="0">
      <formula>"PASS"</formula>
    </cfRule>
    <cfRule type="cellIs" priority="2" operator="equal" dxfId="0">
      <formula>"MATCH"</formula>
    </cfRule>
    <cfRule type="cellIs" priority="3" operator="equal" dxfId="0">
      <formula>"OK"</formula>
    </cfRule>
    <cfRule type="cellIs" priority="4" operator="equal" dxfId="1">
      <formula>"FAIL"</formula>
    </cfRule>
    <cfRule type="cellIs" priority="5" operator="equal" dxfId="1">
      <formula>"MISMATCH"</formula>
    </cfRule>
    <cfRule type="cellIs" priority="6" operator="equal" dxfId="1">
      <formula>"OVER LIMIT"</formula>
    </cfRule>
    <cfRule type="cellIs" priority="7" operator="equal" dxfId="1">
      <formula>"NEVER"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2026-10-22T08:51:24Z</dcterms:created>
  <dcterms:modified xsi:type="dcterms:W3CDTF">2026-10-22T09:04:25Z</dcterms:modified>
</cp:coreProperties>
</file>